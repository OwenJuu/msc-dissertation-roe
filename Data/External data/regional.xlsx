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p01040\Downloads\msc-dissertation-roe\Data\External data\"/>
    </mc:Choice>
  </mc:AlternateContent>
  <xr:revisionPtr revIDLastSave="0" documentId="13_ncr:1_{2ED595F2-B831-4F43-A29C-CE812A8ED1C1}" xr6:coauthVersionLast="47" xr6:coauthVersionMax="47" xr10:uidLastSave="{00000000-0000-0000-0000-000000000000}"/>
  <bookViews>
    <workbookView xWindow="-108" yWindow="-108" windowWidth="23256" windowHeight="12456" tabRatio="560" firstSheet="3" activeTab="4" xr2:uid="{E95ECF71-7DAD-423F-8E26-C2DE2F4FDBF2}"/>
  </bookViews>
  <sheets>
    <sheet name="unemp" sheetId="2" r:id="rId1"/>
    <sheet name="unemp_devi" sheetId="5" r:id="rId2"/>
    <sheet name="unemp_avg" sheetId="11" r:id="rId3"/>
    <sheet name="earn" sheetId="13" r:id="rId4"/>
    <sheet name="rKaitz" sheetId="15" r:id="rId5"/>
    <sheet name="CPI" sheetId="4" r:id="rId6"/>
    <sheet name="earn_devi" sheetId="14" r:id="rId7"/>
    <sheet name="earn_avg" sheetId="10" r:id="rId8"/>
    <sheet name="home_bachfee" sheetId="12" r:id="rId9"/>
    <sheet name="unicount" sheetId="1" r:id="rId10"/>
    <sheet name="pop" sheetId="6" r:id="rId11"/>
    <sheet name="uniperpop" sheetId="7" r:id="rId12"/>
    <sheet name="uniperkm" sheetId="9" r:id="rId13"/>
    <sheet name="uniweight" sheetId="8" state="hidden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5" l="1"/>
  <c r="C10" i="15"/>
  <c r="D10" i="15"/>
  <c r="E10" i="15"/>
  <c r="F10" i="15"/>
  <c r="H10" i="15"/>
  <c r="I10" i="15"/>
  <c r="J10" i="15"/>
  <c r="K10" i="15"/>
  <c r="L10" i="15"/>
  <c r="M10" i="15"/>
  <c r="B11" i="15"/>
  <c r="C11" i="15"/>
  <c r="D11" i="15"/>
  <c r="E11" i="15"/>
  <c r="F11" i="15"/>
  <c r="H11" i="15"/>
  <c r="I11" i="15"/>
  <c r="J11" i="15"/>
  <c r="K11" i="15"/>
  <c r="L11" i="15"/>
  <c r="M11" i="15"/>
  <c r="B12" i="15"/>
  <c r="C12" i="15"/>
  <c r="D12" i="15"/>
  <c r="E12" i="15"/>
  <c r="F12" i="15"/>
  <c r="G12" i="15"/>
  <c r="H12" i="15"/>
  <c r="I12" i="15"/>
  <c r="J12" i="15"/>
  <c r="K12" i="15"/>
  <c r="L12" i="15"/>
  <c r="M12" i="15"/>
  <c r="B13" i="15"/>
  <c r="C13" i="15"/>
  <c r="D13" i="15"/>
  <c r="E13" i="15"/>
  <c r="F13" i="15"/>
  <c r="G13" i="15"/>
  <c r="H13" i="15"/>
  <c r="I13" i="15"/>
  <c r="J13" i="15"/>
  <c r="K13" i="15"/>
  <c r="L13" i="15"/>
  <c r="M13" i="15"/>
  <c r="B14" i="15"/>
  <c r="C14" i="15"/>
  <c r="D14" i="15"/>
  <c r="E14" i="15"/>
  <c r="F14" i="15"/>
  <c r="G14" i="15"/>
  <c r="H14" i="15"/>
  <c r="I14" i="15"/>
  <c r="J14" i="15"/>
  <c r="K14" i="15"/>
  <c r="L14" i="15"/>
  <c r="M14" i="15"/>
  <c r="B15" i="15"/>
  <c r="C15" i="15"/>
  <c r="D15" i="15"/>
  <c r="E15" i="15"/>
  <c r="F15" i="15"/>
  <c r="G15" i="15"/>
  <c r="H15" i="15"/>
  <c r="I15" i="15"/>
  <c r="J15" i="15"/>
  <c r="K15" i="15"/>
  <c r="L15" i="15"/>
  <c r="M15" i="15"/>
  <c r="B16" i="15"/>
  <c r="C16" i="15"/>
  <c r="D16" i="15"/>
  <c r="E16" i="15"/>
  <c r="F16" i="15"/>
  <c r="G16" i="15"/>
  <c r="H16" i="15"/>
  <c r="I16" i="15"/>
  <c r="J16" i="15"/>
  <c r="K16" i="15"/>
  <c r="L16" i="15"/>
  <c r="M16" i="15"/>
  <c r="B17" i="15"/>
  <c r="C17" i="15"/>
  <c r="D17" i="15"/>
  <c r="E17" i="15"/>
  <c r="F17" i="15"/>
  <c r="G17" i="15"/>
  <c r="H17" i="15"/>
  <c r="I17" i="15"/>
  <c r="J17" i="15"/>
  <c r="K17" i="15"/>
  <c r="L17" i="15"/>
  <c r="M17" i="15"/>
  <c r="B18" i="15"/>
  <c r="C18" i="15"/>
  <c r="D18" i="15"/>
  <c r="E18" i="15"/>
  <c r="F18" i="15"/>
  <c r="G18" i="15"/>
  <c r="H18" i="15"/>
  <c r="I18" i="15"/>
  <c r="J18" i="15"/>
  <c r="K18" i="15"/>
  <c r="L18" i="15"/>
  <c r="M18" i="15"/>
  <c r="B19" i="15"/>
  <c r="C19" i="15"/>
  <c r="D19" i="15"/>
  <c r="E19" i="15"/>
  <c r="F19" i="15"/>
  <c r="G19" i="15"/>
  <c r="H19" i="15"/>
  <c r="I19" i="15"/>
  <c r="J19" i="15"/>
  <c r="K19" i="15"/>
  <c r="L19" i="15"/>
  <c r="M19" i="15"/>
  <c r="B20" i="15"/>
  <c r="C20" i="15"/>
  <c r="D20" i="15"/>
  <c r="E20" i="15"/>
  <c r="F20" i="15"/>
  <c r="G20" i="15"/>
  <c r="H20" i="15"/>
  <c r="I20" i="15"/>
  <c r="J20" i="15"/>
  <c r="K20" i="15"/>
  <c r="L20" i="15"/>
  <c r="M20" i="15"/>
  <c r="B21" i="15"/>
  <c r="C21" i="15"/>
  <c r="D21" i="15"/>
  <c r="E21" i="15"/>
  <c r="F21" i="15"/>
  <c r="G21" i="15"/>
  <c r="H21" i="15"/>
  <c r="I21" i="15"/>
  <c r="J21" i="15"/>
  <c r="K21" i="15"/>
  <c r="L21" i="15"/>
  <c r="M21" i="15"/>
  <c r="B22" i="15"/>
  <c r="C22" i="15"/>
  <c r="D22" i="15"/>
  <c r="E22" i="15"/>
  <c r="F22" i="15"/>
  <c r="G22" i="15"/>
  <c r="H22" i="15"/>
  <c r="I22" i="15"/>
  <c r="J22" i="15"/>
  <c r="K22" i="15"/>
  <c r="L22" i="15"/>
  <c r="M22" i="15"/>
  <c r="B23" i="15"/>
  <c r="C23" i="15"/>
  <c r="D23" i="15"/>
  <c r="E23" i="15"/>
  <c r="F23" i="15"/>
  <c r="G23" i="15"/>
  <c r="H23" i="15"/>
  <c r="I23" i="15"/>
  <c r="J23" i="15"/>
  <c r="K23" i="15"/>
  <c r="L23" i="15"/>
  <c r="M23" i="15"/>
  <c r="B24" i="15"/>
  <c r="C24" i="15"/>
  <c r="D24" i="15"/>
  <c r="E24" i="15"/>
  <c r="F24" i="15"/>
  <c r="G24" i="15"/>
  <c r="H24" i="15"/>
  <c r="I24" i="15"/>
  <c r="J24" i="15"/>
  <c r="K24" i="15"/>
  <c r="L24" i="15"/>
  <c r="M24" i="15"/>
  <c r="B25" i="15"/>
  <c r="C25" i="15"/>
  <c r="D25" i="15"/>
  <c r="E25" i="15"/>
  <c r="F25" i="15"/>
  <c r="G25" i="15"/>
  <c r="H25" i="15"/>
  <c r="I25" i="15"/>
  <c r="J25" i="15"/>
  <c r="K25" i="15"/>
  <c r="L25" i="15"/>
  <c r="M25" i="15"/>
  <c r="B26" i="15"/>
  <c r="C26" i="15"/>
  <c r="D26" i="15"/>
  <c r="E26" i="15"/>
  <c r="F26" i="15"/>
  <c r="G26" i="15"/>
  <c r="H26" i="15"/>
  <c r="I26" i="15"/>
  <c r="J26" i="15"/>
  <c r="K26" i="15"/>
  <c r="L26" i="15"/>
  <c r="M26" i="15"/>
  <c r="B27" i="15"/>
  <c r="C27" i="15"/>
  <c r="D27" i="15"/>
  <c r="E27" i="15"/>
  <c r="F27" i="15"/>
  <c r="G27" i="15"/>
  <c r="H27" i="15"/>
  <c r="I27" i="15"/>
  <c r="J27" i="15"/>
  <c r="K27" i="15"/>
  <c r="L27" i="15"/>
  <c r="M27" i="15"/>
  <c r="B28" i="15"/>
  <c r="C28" i="15"/>
  <c r="D28" i="15"/>
  <c r="E28" i="15"/>
  <c r="F28" i="15"/>
  <c r="G28" i="15"/>
  <c r="H28" i="15"/>
  <c r="I28" i="15"/>
  <c r="J28" i="15"/>
  <c r="K28" i="15"/>
  <c r="L28" i="15"/>
  <c r="M28" i="15"/>
  <c r="B29" i="15"/>
  <c r="C29" i="15"/>
  <c r="D29" i="15"/>
  <c r="E29" i="15"/>
  <c r="F29" i="15"/>
  <c r="G29" i="15"/>
  <c r="H29" i="15"/>
  <c r="I29" i="15"/>
  <c r="J29" i="15"/>
  <c r="K29" i="15"/>
  <c r="L29" i="15"/>
  <c r="M29" i="15"/>
  <c r="B30" i="15"/>
  <c r="C30" i="15"/>
  <c r="D30" i="15"/>
  <c r="E30" i="15"/>
  <c r="F30" i="15"/>
  <c r="G30" i="15"/>
  <c r="H30" i="15"/>
  <c r="I30" i="15"/>
  <c r="J30" i="15"/>
  <c r="K30" i="15"/>
  <c r="L30" i="15"/>
  <c r="M30" i="15"/>
  <c r="B31" i="15"/>
  <c r="C31" i="15"/>
  <c r="D31" i="15"/>
  <c r="E31" i="15"/>
  <c r="F31" i="15"/>
  <c r="G31" i="15"/>
  <c r="H31" i="15"/>
  <c r="I31" i="15"/>
  <c r="J31" i="15"/>
  <c r="K31" i="15"/>
  <c r="L31" i="15"/>
  <c r="M31" i="15"/>
  <c r="B32" i="15"/>
  <c r="C32" i="15"/>
  <c r="D32" i="15"/>
  <c r="E32" i="15"/>
  <c r="F32" i="15"/>
  <c r="G32" i="15"/>
  <c r="H32" i="15"/>
  <c r="I32" i="15"/>
  <c r="J32" i="15"/>
  <c r="K32" i="15"/>
  <c r="L32" i="15"/>
  <c r="M32" i="15"/>
  <c r="B33" i="15"/>
  <c r="C33" i="15"/>
  <c r="D33" i="15"/>
  <c r="E33" i="15"/>
  <c r="F33" i="15"/>
  <c r="G33" i="15"/>
  <c r="H33" i="15"/>
  <c r="I33" i="15"/>
  <c r="J33" i="15"/>
  <c r="K33" i="15"/>
  <c r="L33" i="15"/>
  <c r="M33" i="15"/>
  <c r="B34" i="15"/>
  <c r="C34" i="15"/>
  <c r="D34" i="15"/>
  <c r="E34" i="15"/>
  <c r="F34" i="15"/>
  <c r="G34" i="15"/>
  <c r="H34" i="15"/>
  <c r="I34" i="15"/>
  <c r="J34" i="15"/>
  <c r="K34" i="15"/>
  <c r="L34" i="15"/>
  <c r="M34" i="15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26" i="4"/>
  <c r="B3" i="7"/>
  <c r="C3" i="7"/>
  <c r="D3" i="7"/>
  <c r="E3" i="7"/>
  <c r="F3" i="7"/>
  <c r="G3" i="7"/>
  <c r="H3" i="7"/>
  <c r="I3" i="7"/>
  <c r="J3" i="7"/>
  <c r="K3" i="7"/>
  <c r="L3" i="7"/>
  <c r="M3" i="7"/>
  <c r="B4" i="7"/>
  <c r="C4" i="7"/>
  <c r="D4" i="7"/>
  <c r="E4" i="7"/>
  <c r="F4" i="7"/>
  <c r="G4" i="7"/>
  <c r="H4" i="7"/>
  <c r="I4" i="7"/>
  <c r="J4" i="7"/>
  <c r="K4" i="7"/>
  <c r="L4" i="7"/>
  <c r="M4" i="7"/>
  <c r="B5" i="7"/>
  <c r="C5" i="7"/>
  <c r="D5" i="7"/>
  <c r="E5" i="7"/>
  <c r="F5" i="7"/>
  <c r="G5" i="7"/>
  <c r="H5" i="7"/>
  <c r="I5" i="7"/>
  <c r="J5" i="7"/>
  <c r="K5" i="7"/>
  <c r="L5" i="7"/>
  <c r="M5" i="7"/>
  <c r="B6" i="7"/>
  <c r="C6" i="7"/>
  <c r="D6" i="7"/>
  <c r="E6" i="7"/>
  <c r="F6" i="7"/>
  <c r="G6" i="7"/>
  <c r="H6" i="7"/>
  <c r="I6" i="7"/>
  <c r="J6" i="7"/>
  <c r="K6" i="7"/>
  <c r="L6" i="7"/>
  <c r="M6" i="7"/>
  <c r="B7" i="7"/>
  <c r="C7" i="7"/>
  <c r="D7" i="7"/>
  <c r="E7" i="7"/>
  <c r="F7" i="7"/>
  <c r="G7" i="7"/>
  <c r="H7" i="7"/>
  <c r="I7" i="7"/>
  <c r="J7" i="7"/>
  <c r="K7" i="7"/>
  <c r="L7" i="7"/>
  <c r="M7" i="7"/>
  <c r="B8" i="7"/>
  <c r="C8" i="7"/>
  <c r="D8" i="7"/>
  <c r="E8" i="7"/>
  <c r="F8" i="7"/>
  <c r="G8" i="7"/>
  <c r="H8" i="7"/>
  <c r="I8" i="7"/>
  <c r="J8" i="7"/>
  <c r="K8" i="7"/>
  <c r="L8" i="7"/>
  <c r="M8" i="7"/>
  <c r="B9" i="7"/>
  <c r="C9" i="7"/>
  <c r="D9" i="7"/>
  <c r="E9" i="7"/>
  <c r="F9" i="7"/>
  <c r="G9" i="7"/>
  <c r="H9" i="7"/>
  <c r="I9" i="7"/>
  <c r="J9" i="7"/>
  <c r="K9" i="7"/>
  <c r="L9" i="7"/>
  <c r="M9" i="7"/>
  <c r="B10" i="7"/>
  <c r="C10" i="7"/>
  <c r="D10" i="7"/>
  <c r="E10" i="7"/>
  <c r="F10" i="7"/>
  <c r="G10" i="7"/>
  <c r="H10" i="7"/>
  <c r="I10" i="7"/>
  <c r="J10" i="7"/>
  <c r="K10" i="7"/>
  <c r="L10" i="7"/>
  <c r="M10" i="7"/>
  <c r="B11" i="7"/>
  <c r="C11" i="7"/>
  <c r="D11" i="7"/>
  <c r="E11" i="7"/>
  <c r="F11" i="7"/>
  <c r="G11" i="7"/>
  <c r="H11" i="7"/>
  <c r="I11" i="7"/>
  <c r="J11" i="7"/>
  <c r="K11" i="7"/>
  <c r="L11" i="7"/>
  <c r="M11" i="7"/>
  <c r="B12" i="7"/>
  <c r="C12" i="7"/>
  <c r="D12" i="7"/>
  <c r="E12" i="7"/>
  <c r="F12" i="7"/>
  <c r="G12" i="7"/>
  <c r="H12" i="7"/>
  <c r="I12" i="7"/>
  <c r="J12" i="7"/>
  <c r="K12" i="7"/>
  <c r="L12" i="7"/>
  <c r="M12" i="7"/>
  <c r="B13" i="7"/>
  <c r="C13" i="7"/>
  <c r="D13" i="7"/>
  <c r="E13" i="7"/>
  <c r="F13" i="7"/>
  <c r="G13" i="7"/>
  <c r="H13" i="7"/>
  <c r="I13" i="7"/>
  <c r="J13" i="7"/>
  <c r="K13" i="7"/>
  <c r="L13" i="7"/>
  <c r="M13" i="7"/>
  <c r="B14" i="7"/>
  <c r="C14" i="7"/>
  <c r="D14" i="7"/>
  <c r="E14" i="7"/>
  <c r="F14" i="7"/>
  <c r="G14" i="7"/>
  <c r="H14" i="7"/>
  <c r="I14" i="7"/>
  <c r="J14" i="7"/>
  <c r="K14" i="7"/>
  <c r="L14" i="7"/>
  <c r="M14" i="7"/>
  <c r="B15" i="7"/>
  <c r="C15" i="7"/>
  <c r="D15" i="7"/>
  <c r="E15" i="7"/>
  <c r="F15" i="7"/>
  <c r="G15" i="7"/>
  <c r="H15" i="7"/>
  <c r="I15" i="7"/>
  <c r="J15" i="7"/>
  <c r="K15" i="7"/>
  <c r="L15" i="7"/>
  <c r="M15" i="7"/>
  <c r="B16" i="7"/>
  <c r="C16" i="7"/>
  <c r="D16" i="7"/>
  <c r="E16" i="7"/>
  <c r="F16" i="7"/>
  <c r="G16" i="7"/>
  <c r="H16" i="7"/>
  <c r="I16" i="7"/>
  <c r="J16" i="7"/>
  <c r="K16" i="7"/>
  <c r="L16" i="7"/>
  <c r="M16" i="7"/>
  <c r="B17" i="7"/>
  <c r="C17" i="7"/>
  <c r="D17" i="7"/>
  <c r="E17" i="7"/>
  <c r="F17" i="7"/>
  <c r="G17" i="7"/>
  <c r="H17" i="7"/>
  <c r="I17" i="7"/>
  <c r="J17" i="7"/>
  <c r="K17" i="7"/>
  <c r="L17" i="7"/>
  <c r="M17" i="7"/>
  <c r="B18" i="7"/>
  <c r="C18" i="7"/>
  <c r="D18" i="7"/>
  <c r="E18" i="7"/>
  <c r="F18" i="7"/>
  <c r="G18" i="7"/>
  <c r="H18" i="7"/>
  <c r="I18" i="7"/>
  <c r="J18" i="7"/>
  <c r="K18" i="7"/>
  <c r="L18" i="7"/>
  <c r="M18" i="7"/>
  <c r="B19" i="7"/>
  <c r="C19" i="7"/>
  <c r="D19" i="7"/>
  <c r="E19" i="7"/>
  <c r="F19" i="7"/>
  <c r="G19" i="7"/>
  <c r="H19" i="7"/>
  <c r="I19" i="7"/>
  <c r="J19" i="7"/>
  <c r="K19" i="7"/>
  <c r="L19" i="7"/>
  <c r="M19" i="7"/>
  <c r="B20" i="7"/>
  <c r="C20" i="7"/>
  <c r="D20" i="7"/>
  <c r="E20" i="7"/>
  <c r="F20" i="7"/>
  <c r="G20" i="7"/>
  <c r="H20" i="7"/>
  <c r="I20" i="7"/>
  <c r="J20" i="7"/>
  <c r="K20" i="7"/>
  <c r="L20" i="7"/>
  <c r="M20" i="7"/>
  <c r="B21" i="7"/>
  <c r="C21" i="7"/>
  <c r="D21" i="7"/>
  <c r="E21" i="7"/>
  <c r="F21" i="7"/>
  <c r="G21" i="7"/>
  <c r="H21" i="7"/>
  <c r="I21" i="7"/>
  <c r="J21" i="7"/>
  <c r="K21" i="7"/>
  <c r="L21" i="7"/>
  <c r="M21" i="7"/>
  <c r="B22" i="7"/>
  <c r="C22" i="7"/>
  <c r="D22" i="7"/>
  <c r="E22" i="7"/>
  <c r="F22" i="7"/>
  <c r="G22" i="7"/>
  <c r="H22" i="7"/>
  <c r="I22" i="7"/>
  <c r="J22" i="7"/>
  <c r="K22" i="7"/>
  <c r="L22" i="7"/>
  <c r="M22" i="7"/>
  <c r="B23" i="7"/>
  <c r="C23" i="7"/>
  <c r="D23" i="7"/>
  <c r="E23" i="7"/>
  <c r="F23" i="7"/>
  <c r="G23" i="7"/>
  <c r="H23" i="7"/>
  <c r="I23" i="7"/>
  <c r="J23" i="7"/>
  <c r="K23" i="7"/>
  <c r="L23" i="7"/>
  <c r="M23" i="7"/>
  <c r="B24" i="7"/>
  <c r="C24" i="7"/>
  <c r="D24" i="7"/>
  <c r="E24" i="7"/>
  <c r="F24" i="7"/>
  <c r="G24" i="7"/>
  <c r="H24" i="7"/>
  <c r="I24" i="7"/>
  <c r="J24" i="7"/>
  <c r="K24" i="7"/>
  <c r="L24" i="7"/>
  <c r="M24" i="7"/>
  <c r="B25" i="7"/>
  <c r="C25" i="7"/>
  <c r="D25" i="7"/>
  <c r="E25" i="7"/>
  <c r="F25" i="7"/>
  <c r="G25" i="7"/>
  <c r="H25" i="7"/>
  <c r="I25" i="7"/>
  <c r="J25" i="7"/>
  <c r="K25" i="7"/>
  <c r="L25" i="7"/>
  <c r="M25" i="7"/>
  <c r="B26" i="7"/>
  <c r="C26" i="7"/>
  <c r="D26" i="7"/>
  <c r="E26" i="7"/>
  <c r="F26" i="7"/>
  <c r="G26" i="7"/>
  <c r="H26" i="7"/>
  <c r="I26" i="7"/>
  <c r="J26" i="7"/>
  <c r="K26" i="7"/>
  <c r="L26" i="7"/>
  <c r="M26" i="7"/>
  <c r="B27" i="7"/>
  <c r="C27" i="7"/>
  <c r="D27" i="7"/>
  <c r="E27" i="7"/>
  <c r="F27" i="7"/>
  <c r="G27" i="7"/>
  <c r="H27" i="7"/>
  <c r="I27" i="7"/>
  <c r="J27" i="7"/>
  <c r="K27" i="7"/>
  <c r="L27" i="7"/>
  <c r="M27" i="7"/>
  <c r="B28" i="7"/>
  <c r="C28" i="7"/>
  <c r="D28" i="7"/>
  <c r="E28" i="7"/>
  <c r="F28" i="7"/>
  <c r="G28" i="7"/>
  <c r="H28" i="7"/>
  <c r="I28" i="7"/>
  <c r="J28" i="7"/>
  <c r="K28" i="7"/>
  <c r="L28" i="7"/>
  <c r="M28" i="7"/>
  <c r="B29" i="7"/>
  <c r="C29" i="7"/>
  <c r="D29" i="7"/>
  <c r="E29" i="7"/>
  <c r="F29" i="7"/>
  <c r="G29" i="7"/>
  <c r="H29" i="7"/>
  <c r="I29" i="7"/>
  <c r="J29" i="7"/>
  <c r="K29" i="7"/>
  <c r="L29" i="7"/>
  <c r="M29" i="7"/>
  <c r="B30" i="7"/>
  <c r="C30" i="7"/>
  <c r="D30" i="7"/>
  <c r="E30" i="7"/>
  <c r="F30" i="7"/>
  <c r="G30" i="7"/>
  <c r="H30" i="7"/>
  <c r="I30" i="7"/>
  <c r="J30" i="7"/>
  <c r="K30" i="7"/>
  <c r="L30" i="7"/>
  <c r="M30" i="7"/>
  <c r="B31" i="7"/>
  <c r="C31" i="7"/>
  <c r="D31" i="7"/>
  <c r="E31" i="7"/>
  <c r="F31" i="7"/>
  <c r="G31" i="7"/>
  <c r="H31" i="7"/>
  <c r="I31" i="7"/>
  <c r="J31" i="7"/>
  <c r="K31" i="7"/>
  <c r="L31" i="7"/>
  <c r="M31" i="7"/>
  <c r="B32" i="7"/>
  <c r="C32" i="7"/>
  <c r="D32" i="7"/>
  <c r="E32" i="7"/>
  <c r="F32" i="7"/>
  <c r="G32" i="7"/>
  <c r="H32" i="7"/>
  <c r="I32" i="7"/>
  <c r="J32" i="7"/>
  <c r="K32" i="7"/>
  <c r="L32" i="7"/>
  <c r="M32" i="7"/>
  <c r="B33" i="7"/>
  <c r="C33" i="7"/>
  <c r="D33" i="7"/>
  <c r="E33" i="7"/>
  <c r="F33" i="7"/>
  <c r="G33" i="7"/>
  <c r="H33" i="7"/>
  <c r="I33" i="7"/>
  <c r="J33" i="7"/>
  <c r="K33" i="7"/>
  <c r="L33" i="7"/>
  <c r="M33" i="7"/>
  <c r="B34" i="7"/>
  <c r="C34" i="7"/>
  <c r="D34" i="7"/>
  <c r="E34" i="7"/>
  <c r="F34" i="7"/>
  <c r="G34" i="7"/>
  <c r="H34" i="7"/>
  <c r="I34" i="7"/>
  <c r="J34" i="7"/>
  <c r="K34" i="7"/>
  <c r="L34" i="7"/>
  <c r="M34" i="7"/>
  <c r="B35" i="7"/>
  <c r="C35" i="7"/>
  <c r="D35" i="7"/>
  <c r="E35" i="7"/>
  <c r="F35" i="7"/>
  <c r="G35" i="7"/>
  <c r="H35" i="7"/>
  <c r="I35" i="7"/>
  <c r="J35" i="7"/>
  <c r="K35" i="7"/>
  <c r="L35" i="7"/>
  <c r="M35" i="7"/>
  <c r="B36" i="7"/>
  <c r="C36" i="7"/>
  <c r="D36" i="7"/>
  <c r="E36" i="7"/>
  <c r="F36" i="7"/>
  <c r="G36" i="7"/>
  <c r="H36" i="7"/>
  <c r="I36" i="7"/>
  <c r="J36" i="7"/>
  <c r="K36" i="7"/>
  <c r="L36" i="7"/>
  <c r="M36" i="7"/>
  <c r="B37" i="7"/>
  <c r="C37" i="7"/>
  <c r="D37" i="7"/>
  <c r="E37" i="7"/>
  <c r="F37" i="7"/>
  <c r="G37" i="7"/>
  <c r="H37" i="7"/>
  <c r="I37" i="7"/>
  <c r="J37" i="7"/>
  <c r="K37" i="7"/>
  <c r="L37" i="7"/>
  <c r="M37" i="7"/>
  <c r="B38" i="7"/>
  <c r="C38" i="7"/>
  <c r="D38" i="7"/>
  <c r="E38" i="7"/>
  <c r="F38" i="7"/>
  <c r="G38" i="7"/>
  <c r="H38" i="7"/>
  <c r="I38" i="7"/>
  <c r="J38" i="7"/>
  <c r="K38" i="7"/>
  <c r="L38" i="7"/>
  <c r="M38" i="7"/>
  <c r="B39" i="7"/>
  <c r="C39" i="7"/>
  <c r="D39" i="7"/>
  <c r="E39" i="7"/>
  <c r="F39" i="7"/>
  <c r="G39" i="7"/>
  <c r="H39" i="7"/>
  <c r="I39" i="7"/>
  <c r="J39" i="7"/>
  <c r="K39" i="7"/>
  <c r="L39" i="7"/>
  <c r="M39" i="7"/>
  <c r="B40" i="7"/>
  <c r="C40" i="7"/>
  <c r="D40" i="7"/>
  <c r="E40" i="7"/>
  <c r="F40" i="7"/>
  <c r="G40" i="7"/>
  <c r="H40" i="7"/>
  <c r="I40" i="7"/>
  <c r="J40" i="7"/>
  <c r="K40" i="7"/>
  <c r="L40" i="7"/>
  <c r="M40" i="7"/>
  <c r="B41" i="7"/>
  <c r="C41" i="7"/>
  <c r="D41" i="7"/>
  <c r="E41" i="7"/>
  <c r="F41" i="7"/>
  <c r="G41" i="7"/>
  <c r="H41" i="7"/>
  <c r="I41" i="7"/>
  <c r="J41" i="7"/>
  <c r="K41" i="7"/>
  <c r="L41" i="7"/>
  <c r="M41" i="7"/>
  <c r="B42" i="7"/>
  <c r="C42" i="7"/>
  <c r="D42" i="7"/>
  <c r="E42" i="7"/>
  <c r="F42" i="7"/>
  <c r="G42" i="7"/>
  <c r="H42" i="7"/>
  <c r="I42" i="7"/>
  <c r="J42" i="7"/>
  <c r="K42" i="7"/>
  <c r="L42" i="7"/>
  <c r="M42" i="7"/>
  <c r="B43" i="7"/>
  <c r="C43" i="7"/>
  <c r="D43" i="7"/>
  <c r="E43" i="7"/>
  <c r="F43" i="7"/>
  <c r="G43" i="7"/>
  <c r="H43" i="7"/>
  <c r="I43" i="7"/>
  <c r="J43" i="7"/>
  <c r="K43" i="7"/>
  <c r="L43" i="7"/>
  <c r="M43" i="7"/>
  <c r="B44" i="7"/>
  <c r="C44" i="7"/>
  <c r="D44" i="7"/>
  <c r="E44" i="7"/>
  <c r="F44" i="7"/>
  <c r="G44" i="7"/>
  <c r="H44" i="7"/>
  <c r="I44" i="7"/>
  <c r="J44" i="7"/>
  <c r="K44" i="7"/>
  <c r="L44" i="7"/>
  <c r="M44" i="7"/>
  <c r="B45" i="7"/>
  <c r="C45" i="7"/>
  <c r="D45" i="7"/>
  <c r="E45" i="7"/>
  <c r="F45" i="7"/>
  <c r="G45" i="7"/>
  <c r="H45" i="7"/>
  <c r="I45" i="7"/>
  <c r="J45" i="7"/>
  <c r="K45" i="7"/>
  <c r="L45" i="7"/>
  <c r="M45" i="7"/>
  <c r="B46" i="7"/>
  <c r="C46" i="7"/>
  <c r="D46" i="7"/>
  <c r="E46" i="7"/>
  <c r="F46" i="7"/>
  <c r="G46" i="7"/>
  <c r="H46" i="7"/>
  <c r="I46" i="7"/>
  <c r="J46" i="7"/>
  <c r="K46" i="7"/>
  <c r="L46" i="7"/>
  <c r="M46" i="7"/>
  <c r="B47" i="7"/>
  <c r="C47" i="7"/>
  <c r="D47" i="7"/>
  <c r="E47" i="7"/>
  <c r="F47" i="7"/>
  <c r="G47" i="7"/>
  <c r="H47" i="7"/>
  <c r="I47" i="7"/>
  <c r="J47" i="7"/>
  <c r="K47" i="7"/>
  <c r="L47" i="7"/>
  <c r="M47" i="7"/>
  <c r="B48" i="7"/>
  <c r="C48" i="7"/>
  <c r="D48" i="7"/>
  <c r="E48" i="7"/>
  <c r="F48" i="7"/>
  <c r="G48" i="7"/>
  <c r="H48" i="7"/>
  <c r="I48" i="7"/>
  <c r="J48" i="7"/>
  <c r="K48" i="7"/>
  <c r="L48" i="7"/>
  <c r="M48" i="7"/>
  <c r="B49" i="7"/>
  <c r="C49" i="7"/>
  <c r="D49" i="7"/>
  <c r="E49" i="7"/>
  <c r="F49" i="7"/>
  <c r="G49" i="7"/>
  <c r="H49" i="7"/>
  <c r="I49" i="7"/>
  <c r="J49" i="7"/>
  <c r="K49" i="7"/>
  <c r="L49" i="7"/>
  <c r="M49" i="7"/>
  <c r="B50" i="7"/>
  <c r="C50" i="7"/>
  <c r="D50" i="7"/>
  <c r="E50" i="7"/>
  <c r="F50" i="7"/>
  <c r="G50" i="7"/>
  <c r="H50" i="7"/>
  <c r="I50" i="7"/>
  <c r="J50" i="7"/>
  <c r="K50" i="7"/>
  <c r="L50" i="7"/>
  <c r="M50" i="7"/>
  <c r="B51" i="7"/>
  <c r="C51" i="7"/>
  <c r="D51" i="7"/>
  <c r="E51" i="7"/>
  <c r="F51" i="7"/>
  <c r="G51" i="7"/>
  <c r="H51" i="7"/>
  <c r="I51" i="7"/>
  <c r="J51" i="7"/>
  <c r="K51" i="7"/>
  <c r="L51" i="7"/>
  <c r="M51" i="7"/>
  <c r="B52" i="7"/>
  <c r="C52" i="7"/>
  <c r="D52" i="7"/>
  <c r="E52" i="7"/>
  <c r="F52" i="7"/>
  <c r="G52" i="7"/>
  <c r="H52" i="7"/>
  <c r="I52" i="7"/>
  <c r="J52" i="7"/>
  <c r="K52" i="7"/>
  <c r="L52" i="7"/>
  <c r="M52" i="7"/>
  <c r="C2" i="7"/>
  <c r="D2" i="7"/>
  <c r="E2" i="7"/>
  <c r="F2" i="7"/>
  <c r="G2" i="7"/>
  <c r="H2" i="7"/>
  <c r="I2" i="7"/>
  <c r="J2" i="7"/>
  <c r="K2" i="7"/>
  <c r="L2" i="7"/>
  <c r="M2" i="7"/>
  <c r="B2" i="7"/>
  <c r="N2" i="6"/>
  <c r="N24" i="6"/>
  <c r="N3" i="6"/>
  <c r="N4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2" i="1"/>
  <c r="K52" i="6"/>
  <c r="L52" i="6"/>
  <c r="M52" i="6"/>
  <c r="M3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2" i="9"/>
  <c r="C5" i="9"/>
  <c r="L48" i="9"/>
  <c r="L3" i="9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9" i="9"/>
  <c r="L50" i="9"/>
  <c r="L51" i="9"/>
  <c r="L52" i="9"/>
  <c r="L2" i="9"/>
  <c r="K3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2" i="9"/>
  <c r="J3" i="9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12" i="14"/>
  <c r="M2" i="14"/>
  <c r="M3" i="14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M20" i="14"/>
  <c r="M21" i="14"/>
  <c r="M22" i="14"/>
  <c r="M23" i="14"/>
  <c r="M24" i="14"/>
  <c r="M25" i="14"/>
  <c r="M26" i="14"/>
  <c r="M27" i="14"/>
  <c r="M28" i="14"/>
  <c r="M29" i="14"/>
  <c r="M30" i="14"/>
  <c r="M31" i="14"/>
  <c r="M32" i="14"/>
  <c r="M33" i="14"/>
  <c r="M34" i="14"/>
  <c r="C2" i="14"/>
  <c r="D2" i="14"/>
  <c r="E2" i="14"/>
  <c r="F2" i="14"/>
  <c r="H2" i="14"/>
  <c r="I2" i="14"/>
  <c r="J2" i="14"/>
  <c r="K2" i="14"/>
  <c r="L2" i="14"/>
  <c r="C3" i="14"/>
  <c r="D3" i="14"/>
  <c r="E3" i="14"/>
  <c r="F3" i="14"/>
  <c r="H3" i="14"/>
  <c r="I3" i="14"/>
  <c r="J3" i="14"/>
  <c r="K3" i="14"/>
  <c r="L3" i="14"/>
  <c r="C4" i="14"/>
  <c r="D4" i="14"/>
  <c r="E4" i="14"/>
  <c r="F4" i="14"/>
  <c r="H4" i="14"/>
  <c r="I4" i="14"/>
  <c r="J4" i="14"/>
  <c r="K4" i="14"/>
  <c r="L4" i="14"/>
  <c r="C5" i="14"/>
  <c r="D5" i="14"/>
  <c r="E5" i="14"/>
  <c r="F5" i="14"/>
  <c r="H5" i="14"/>
  <c r="I5" i="14"/>
  <c r="J5" i="14"/>
  <c r="K5" i="14"/>
  <c r="L5" i="14"/>
  <c r="C6" i="14"/>
  <c r="D6" i="14"/>
  <c r="E6" i="14"/>
  <c r="F6" i="14"/>
  <c r="H6" i="14"/>
  <c r="I6" i="14"/>
  <c r="J6" i="14"/>
  <c r="K6" i="14"/>
  <c r="L6" i="14"/>
  <c r="C7" i="14"/>
  <c r="D7" i="14"/>
  <c r="E7" i="14"/>
  <c r="F7" i="14"/>
  <c r="H7" i="14"/>
  <c r="I7" i="14"/>
  <c r="J7" i="14"/>
  <c r="K7" i="14"/>
  <c r="L7" i="14"/>
  <c r="C8" i="14"/>
  <c r="D8" i="14"/>
  <c r="E8" i="14"/>
  <c r="F8" i="14"/>
  <c r="H8" i="14"/>
  <c r="I8" i="14"/>
  <c r="J8" i="14"/>
  <c r="K8" i="14"/>
  <c r="L8" i="14"/>
  <c r="C9" i="14"/>
  <c r="D9" i="14"/>
  <c r="E9" i="14"/>
  <c r="F9" i="14"/>
  <c r="H9" i="14"/>
  <c r="I9" i="14"/>
  <c r="J9" i="14"/>
  <c r="K9" i="14"/>
  <c r="L9" i="14"/>
  <c r="C10" i="14"/>
  <c r="D10" i="14"/>
  <c r="E10" i="14"/>
  <c r="F10" i="14"/>
  <c r="H10" i="14"/>
  <c r="I10" i="14"/>
  <c r="J10" i="14"/>
  <c r="K10" i="14"/>
  <c r="L10" i="14"/>
  <c r="C11" i="14"/>
  <c r="D11" i="14"/>
  <c r="E11" i="14"/>
  <c r="F11" i="14"/>
  <c r="H11" i="14"/>
  <c r="I11" i="14"/>
  <c r="J11" i="14"/>
  <c r="K11" i="14"/>
  <c r="L11" i="14"/>
  <c r="C12" i="14"/>
  <c r="D12" i="14"/>
  <c r="E12" i="14"/>
  <c r="F12" i="14"/>
  <c r="H12" i="14"/>
  <c r="I12" i="14"/>
  <c r="J12" i="14"/>
  <c r="K12" i="14"/>
  <c r="L12" i="14"/>
  <c r="C13" i="14"/>
  <c r="D13" i="14"/>
  <c r="E13" i="14"/>
  <c r="F13" i="14"/>
  <c r="H13" i="14"/>
  <c r="I13" i="14"/>
  <c r="J13" i="14"/>
  <c r="K13" i="14"/>
  <c r="L13" i="14"/>
  <c r="C14" i="14"/>
  <c r="D14" i="14"/>
  <c r="E14" i="14"/>
  <c r="F14" i="14"/>
  <c r="H14" i="14"/>
  <c r="I14" i="14"/>
  <c r="J14" i="14"/>
  <c r="K14" i="14"/>
  <c r="L14" i="14"/>
  <c r="C15" i="14"/>
  <c r="D15" i="14"/>
  <c r="E15" i="14"/>
  <c r="F15" i="14"/>
  <c r="H15" i="14"/>
  <c r="I15" i="14"/>
  <c r="J15" i="14"/>
  <c r="K15" i="14"/>
  <c r="L15" i="14"/>
  <c r="C16" i="14"/>
  <c r="D16" i="14"/>
  <c r="E16" i="14"/>
  <c r="F16" i="14"/>
  <c r="H16" i="14"/>
  <c r="I16" i="14"/>
  <c r="J16" i="14"/>
  <c r="K16" i="14"/>
  <c r="L16" i="14"/>
  <c r="C17" i="14"/>
  <c r="D17" i="14"/>
  <c r="E17" i="14"/>
  <c r="F17" i="14"/>
  <c r="H17" i="14"/>
  <c r="I17" i="14"/>
  <c r="J17" i="14"/>
  <c r="K17" i="14"/>
  <c r="L17" i="14"/>
  <c r="C18" i="14"/>
  <c r="D18" i="14"/>
  <c r="E18" i="14"/>
  <c r="F18" i="14"/>
  <c r="H18" i="14"/>
  <c r="I18" i="14"/>
  <c r="J18" i="14"/>
  <c r="K18" i="14"/>
  <c r="L18" i="14"/>
  <c r="C19" i="14"/>
  <c r="D19" i="14"/>
  <c r="E19" i="14"/>
  <c r="F19" i="14"/>
  <c r="H19" i="14"/>
  <c r="I19" i="14"/>
  <c r="J19" i="14"/>
  <c r="K19" i="14"/>
  <c r="L19" i="14"/>
  <c r="C20" i="14"/>
  <c r="D20" i="14"/>
  <c r="E20" i="14"/>
  <c r="F20" i="14"/>
  <c r="H20" i="14"/>
  <c r="I20" i="14"/>
  <c r="J20" i="14"/>
  <c r="K20" i="14"/>
  <c r="L20" i="14"/>
  <c r="C21" i="14"/>
  <c r="D21" i="14"/>
  <c r="E21" i="14"/>
  <c r="F21" i="14"/>
  <c r="H21" i="14"/>
  <c r="I21" i="14"/>
  <c r="J21" i="14"/>
  <c r="K21" i="14"/>
  <c r="L21" i="14"/>
  <c r="C22" i="14"/>
  <c r="D22" i="14"/>
  <c r="E22" i="14"/>
  <c r="F22" i="14"/>
  <c r="H22" i="14"/>
  <c r="I22" i="14"/>
  <c r="J22" i="14"/>
  <c r="K22" i="14"/>
  <c r="L22" i="14"/>
  <c r="C23" i="14"/>
  <c r="D23" i="14"/>
  <c r="E23" i="14"/>
  <c r="F23" i="14"/>
  <c r="H23" i="14"/>
  <c r="I23" i="14"/>
  <c r="J23" i="14"/>
  <c r="K23" i="14"/>
  <c r="L23" i="14"/>
  <c r="C24" i="14"/>
  <c r="D24" i="14"/>
  <c r="E24" i="14"/>
  <c r="F24" i="14"/>
  <c r="H24" i="14"/>
  <c r="I24" i="14"/>
  <c r="J24" i="14"/>
  <c r="K24" i="14"/>
  <c r="L24" i="14"/>
  <c r="C25" i="14"/>
  <c r="D25" i="14"/>
  <c r="E25" i="14"/>
  <c r="F25" i="14"/>
  <c r="H25" i="14"/>
  <c r="I25" i="14"/>
  <c r="J25" i="14"/>
  <c r="K25" i="14"/>
  <c r="L25" i="14"/>
  <c r="C26" i="14"/>
  <c r="D26" i="14"/>
  <c r="E26" i="14"/>
  <c r="F26" i="14"/>
  <c r="H26" i="14"/>
  <c r="I26" i="14"/>
  <c r="J26" i="14"/>
  <c r="K26" i="14"/>
  <c r="L26" i="14"/>
  <c r="C27" i="14"/>
  <c r="D27" i="14"/>
  <c r="E27" i="14"/>
  <c r="F27" i="14"/>
  <c r="H27" i="14"/>
  <c r="I27" i="14"/>
  <c r="J27" i="14"/>
  <c r="K27" i="14"/>
  <c r="L27" i="14"/>
  <c r="C28" i="14"/>
  <c r="D28" i="14"/>
  <c r="E28" i="14"/>
  <c r="F28" i="14"/>
  <c r="H28" i="14"/>
  <c r="I28" i="14"/>
  <c r="J28" i="14"/>
  <c r="K28" i="14"/>
  <c r="L28" i="14"/>
  <c r="C29" i="14"/>
  <c r="D29" i="14"/>
  <c r="E29" i="14"/>
  <c r="F29" i="14"/>
  <c r="H29" i="14"/>
  <c r="I29" i="14"/>
  <c r="J29" i="14"/>
  <c r="K29" i="14"/>
  <c r="L29" i="14"/>
  <c r="C30" i="14"/>
  <c r="D30" i="14"/>
  <c r="E30" i="14"/>
  <c r="F30" i="14"/>
  <c r="H30" i="14"/>
  <c r="I30" i="14"/>
  <c r="J30" i="14"/>
  <c r="K30" i="14"/>
  <c r="L30" i="14"/>
  <c r="C31" i="14"/>
  <c r="D31" i="14"/>
  <c r="E31" i="14"/>
  <c r="F31" i="14"/>
  <c r="H31" i="14"/>
  <c r="I31" i="14"/>
  <c r="J31" i="14"/>
  <c r="K31" i="14"/>
  <c r="L31" i="14"/>
  <c r="C32" i="14"/>
  <c r="D32" i="14"/>
  <c r="E32" i="14"/>
  <c r="F32" i="14"/>
  <c r="H32" i="14"/>
  <c r="I32" i="14"/>
  <c r="J32" i="14"/>
  <c r="K32" i="14"/>
  <c r="L32" i="14"/>
  <c r="C33" i="14"/>
  <c r="D33" i="14"/>
  <c r="E33" i="14"/>
  <c r="F33" i="14"/>
  <c r="H33" i="14"/>
  <c r="I33" i="14"/>
  <c r="J33" i="14"/>
  <c r="K33" i="14"/>
  <c r="L33" i="14"/>
  <c r="C34" i="14"/>
  <c r="D34" i="14"/>
  <c r="E34" i="14"/>
  <c r="F34" i="14"/>
  <c r="H34" i="14"/>
  <c r="I34" i="14"/>
  <c r="J34" i="14"/>
  <c r="K34" i="14"/>
  <c r="L34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8" i="14"/>
  <c r="B29" i="14"/>
  <c r="B30" i="14"/>
  <c r="B31" i="14"/>
  <c r="B32" i="14"/>
  <c r="B33" i="14"/>
  <c r="B34" i="14"/>
  <c r="B2" i="14"/>
  <c r="J3" i="5"/>
  <c r="K3" i="5"/>
  <c r="L3" i="5"/>
  <c r="M3" i="5"/>
  <c r="J4" i="5"/>
  <c r="K4" i="5"/>
  <c r="L4" i="5"/>
  <c r="M4" i="5"/>
  <c r="J5" i="5"/>
  <c r="K5" i="5"/>
  <c r="L5" i="5"/>
  <c r="M5" i="5"/>
  <c r="J6" i="5"/>
  <c r="K6" i="5"/>
  <c r="L6" i="5"/>
  <c r="M6" i="5"/>
  <c r="J7" i="5"/>
  <c r="K7" i="5"/>
  <c r="L7" i="5"/>
  <c r="M7" i="5"/>
  <c r="J8" i="5"/>
  <c r="K8" i="5"/>
  <c r="L8" i="5"/>
  <c r="M8" i="5"/>
  <c r="J9" i="5"/>
  <c r="K9" i="5"/>
  <c r="L9" i="5"/>
  <c r="M9" i="5"/>
  <c r="J10" i="5"/>
  <c r="K10" i="5"/>
  <c r="L10" i="5"/>
  <c r="M10" i="5"/>
  <c r="J11" i="5"/>
  <c r="K11" i="5"/>
  <c r="L11" i="5"/>
  <c r="M11" i="5"/>
  <c r="J12" i="5"/>
  <c r="K12" i="5"/>
  <c r="L12" i="5"/>
  <c r="M12" i="5"/>
  <c r="J13" i="5"/>
  <c r="K13" i="5"/>
  <c r="L13" i="5"/>
  <c r="M13" i="5"/>
  <c r="J14" i="5"/>
  <c r="K14" i="5"/>
  <c r="L14" i="5"/>
  <c r="M14" i="5"/>
  <c r="J15" i="5"/>
  <c r="K15" i="5"/>
  <c r="L15" i="5"/>
  <c r="M15" i="5"/>
  <c r="J16" i="5"/>
  <c r="K16" i="5"/>
  <c r="L16" i="5"/>
  <c r="M16" i="5"/>
  <c r="J17" i="5"/>
  <c r="K17" i="5"/>
  <c r="L17" i="5"/>
  <c r="M17" i="5"/>
  <c r="J18" i="5"/>
  <c r="K18" i="5"/>
  <c r="L18" i="5"/>
  <c r="M18" i="5"/>
  <c r="J19" i="5"/>
  <c r="K19" i="5"/>
  <c r="L19" i="5"/>
  <c r="M19" i="5"/>
  <c r="J20" i="5"/>
  <c r="K20" i="5"/>
  <c r="L20" i="5"/>
  <c r="M20" i="5"/>
  <c r="J21" i="5"/>
  <c r="K21" i="5"/>
  <c r="L21" i="5"/>
  <c r="M21" i="5"/>
  <c r="J22" i="5"/>
  <c r="K22" i="5"/>
  <c r="L22" i="5"/>
  <c r="M22" i="5"/>
  <c r="J23" i="5"/>
  <c r="K23" i="5"/>
  <c r="L23" i="5"/>
  <c r="M23" i="5"/>
  <c r="J24" i="5"/>
  <c r="K24" i="5"/>
  <c r="L24" i="5"/>
  <c r="M24" i="5"/>
  <c r="J25" i="5"/>
  <c r="K25" i="5"/>
  <c r="L25" i="5"/>
  <c r="M25" i="5"/>
  <c r="J26" i="5"/>
  <c r="K26" i="5"/>
  <c r="L26" i="5"/>
  <c r="M26" i="5"/>
  <c r="J27" i="5"/>
  <c r="K27" i="5"/>
  <c r="L27" i="5"/>
  <c r="M27" i="5"/>
  <c r="J28" i="5"/>
  <c r="K28" i="5"/>
  <c r="L28" i="5"/>
  <c r="M28" i="5"/>
  <c r="J29" i="5"/>
  <c r="K29" i="5"/>
  <c r="L29" i="5"/>
  <c r="M29" i="5"/>
  <c r="J30" i="5"/>
  <c r="K30" i="5"/>
  <c r="L30" i="5"/>
  <c r="M30" i="5"/>
  <c r="J31" i="5"/>
  <c r="K31" i="5"/>
  <c r="L31" i="5"/>
  <c r="M31" i="5"/>
  <c r="J32" i="5"/>
  <c r="K32" i="5"/>
  <c r="L32" i="5"/>
  <c r="M32" i="5"/>
  <c r="J33" i="5"/>
  <c r="K33" i="5"/>
  <c r="L33" i="5"/>
  <c r="M33" i="5"/>
  <c r="J34" i="5"/>
  <c r="K34" i="5"/>
  <c r="L34" i="5"/>
  <c r="M34" i="5"/>
  <c r="J35" i="5"/>
  <c r="K35" i="5"/>
  <c r="L35" i="5"/>
  <c r="M35" i="5"/>
  <c r="J36" i="5"/>
  <c r="K36" i="5"/>
  <c r="L36" i="5"/>
  <c r="M36" i="5"/>
  <c r="J37" i="5"/>
  <c r="K37" i="5"/>
  <c r="L37" i="5"/>
  <c r="M37" i="5"/>
  <c r="J38" i="5"/>
  <c r="K38" i="5"/>
  <c r="L38" i="5"/>
  <c r="M38" i="5"/>
  <c r="J39" i="5"/>
  <c r="K39" i="5"/>
  <c r="L39" i="5"/>
  <c r="M39" i="5"/>
  <c r="J40" i="5"/>
  <c r="K40" i="5"/>
  <c r="L40" i="5"/>
  <c r="M40" i="5"/>
  <c r="J41" i="5"/>
  <c r="K41" i="5"/>
  <c r="L41" i="5"/>
  <c r="M41" i="5"/>
  <c r="J42" i="5"/>
  <c r="K42" i="5"/>
  <c r="L42" i="5"/>
  <c r="M42" i="5"/>
  <c r="J43" i="5"/>
  <c r="K43" i="5"/>
  <c r="L43" i="5"/>
  <c r="M43" i="5"/>
  <c r="J44" i="5"/>
  <c r="K44" i="5"/>
  <c r="L44" i="5"/>
  <c r="M44" i="5"/>
  <c r="J45" i="5"/>
  <c r="K45" i="5"/>
  <c r="L45" i="5"/>
  <c r="M45" i="5"/>
  <c r="J46" i="5"/>
  <c r="K46" i="5"/>
  <c r="L46" i="5"/>
  <c r="M46" i="5"/>
  <c r="J47" i="5"/>
  <c r="K47" i="5"/>
  <c r="L47" i="5"/>
  <c r="M47" i="5"/>
  <c r="J48" i="5"/>
  <c r="K48" i="5"/>
  <c r="L48" i="5"/>
  <c r="M48" i="5"/>
  <c r="J49" i="5"/>
  <c r="K49" i="5"/>
  <c r="L49" i="5"/>
  <c r="M49" i="5"/>
  <c r="J50" i="5"/>
  <c r="K50" i="5"/>
  <c r="L50" i="5"/>
  <c r="M50" i="5"/>
  <c r="J51" i="5"/>
  <c r="K51" i="5"/>
  <c r="L51" i="5"/>
  <c r="M51" i="5"/>
  <c r="J52" i="5"/>
  <c r="K52" i="5"/>
  <c r="L52" i="5"/>
  <c r="M52" i="5"/>
  <c r="K2" i="5"/>
  <c r="L2" i="5"/>
  <c r="M2" i="5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2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2" i="9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2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2" i="9"/>
  <c r="C3" i="9"/>
  <c r="C4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2" i="9"/>
  <c r="I7" i="6"/>
  <c r="H7" i="6"/>
  <c r="G7" i="6"/>
  <c r="F7" i="6"/>
  <c r="F6" i="6" s="1"/>
  <c r="J4" i="6"/>
  <c r="B5" i="6"/>
  <c r="B4" i="6" s="1"/>
  <c r="B3" i="6" s="1"/>
  <c r="B2" i="6" s="1"/>
  <c r="I5" i="6"/>
  <c r="I4" i="6" s="1"/>
  <c r="J5" i="6"/>
  <c r="B6" i="6"/>
  <c r="C6" i="6"/>
  <c r="C5" i="6" s="1"/>
  <c r="D6" i="6"/>
  <c r="D5" i="6" s="1"/>
  <c r="E6" i="6"/>
  <c r="G6" i="6"/>
  <c r="H6" i="6"/>
  <c r="I6" i="6"/>
  <c r="J6" i="6"/>
  <c r="C7" i="6"/>
  <c r="D7" i="6"/>
  <c r="E7" i="6"/>
  <c r="J7" i="6"/>
  <c r="B7" i="6"/>
  <c r="G8" i="8"/>
  <c r="E9" i="8"/>
  <c r="E10" i="8"/>
  <c r="E11" i="8"/>
  <c r="H12" i="8"/>
  <c r="B13" i="8"/>
  <c r="C14" i="8"/>
  <c r="J17" i="8"/>
  <c r="J18" i="8"/>
  <c r="C19" i="8"/>
  <c r="C20" i="8"/>
  <c r="I21" i="8"/>
  <c r="E22" i="8"/>
  <c r="F23" i="8"/>
  <c r="J24" i="8"/>
  <c r="J25" i="8"/>
  <c r="B26" i="8"/>
  <c r="B27" i="8"/>
  <c r="D28" i="8"/>
  <c r="H29" i="8"/>
  <c r="G31" i="8"/>
  <c r="J32" i="8"/>
  <c r="E33" i="8"/>
  <c r="I34" i="8"/>
  <c r="I35" i="8"/>
  <c r="E36" i="8"/>
  <c r="G37" i="8"/>
  <c r="J38" i="8"/>
  <c r="J39" i="8"/>
  <c r="I40" i="8"/>
  <c r="I41" i="8"/>
  <c r="J42" i="8"/>
  <c r="E43" i="8"/>
  <c r="H45" i="8"/>
  <c r="I46" i="8"/>
  <c r="J47" i="8"/>
  <c r="G48" i="8"/>
  <c r="J49" i="8"/>
  <c r="J50" i="8"/>
  <c r="H51" i="8"/>
  <c r="J30" i="8"/>
  <c r="J33" i="8"/>
  <c r="J41" i="8"/>
  <c r="J44" i="8"/>
  <c r="J16" i="8"/>
  <c r="I16" i="8"/>
  <c r="I26" i="8"/>
  <c r="I30" i="8"/>
  <c r="I38" i="8"/>
  <c r="I44" i="8"/>
  <c r="I45" i="8"/>
  <c r="H16" i="8"/>
  <c r="H19" i="8"/>
  <c r="H30" i="8"/>
  <c r="H44" i="8"/>
  <c r="H46" i="8"/>
  <c r="G16" i="8"/>
  <c r="G30" i="8"/>
  <c r="G32" i="8"/>
  <c r="G33" i="8"/>
  <c r="G44" i="8"/>
  <c r="G45" i="8"/>
  <c r="F16" i="8"/>
  <c r="F19" i="8"/>
  <c r="F30" i="8"/>
  <c r="F32" i="8"/>
  <c r="F33" i="8"/>
  <c r="F44" i="8"/>
  <c r="E16" i="8"/>
  <c r="E17" i="8"/>
  <c r="E18" i="8"/>
  <c r="E19" i="8"/>
  <c r="E30" i="8"/>
  <c r="E31" i="8"/>
  <c r="E44" i="8"/>
  <c r="E45" i="8"/>
  <c r="E46" i="8"/>
  <c r="E47" i="8"/>
  <c r="D16" i="8"/>
  <c r="D17" i="8"/>
  <c r="D18" i="8"/>
  <c r="D30" i="8"/>
  <c r="D32" i="8"/>
  <c r="D44" i="8"/>
  <c r="D46" i="8"/>
  <c r="C9" i="8"/>
  <c r="C10" i="8"/>
  <c r="C16" i="8"/>
  <c r="C30" i="8"/>
  <c r="C44" i="8"/>
  <c r="B16" i="8"/>
  <c r="B17" i="8"/>
  <c r="B18" i="8"/>
  <c r="B21" i="8"/>
  <c r="B24" i="8"/>
  <c r="B30" i="8"/>
  <c r="B32" i="8"/>
  <c r="B44" i="8"/>
  <c r="B45" i="8"/>
  <c r="C52" i="6"/>
  <c r="D52" i="6"/>
  <c r="E52" i="6"/>
  <c r="F52" i="6"/>
  <c r="G52" i="6"/>
  <c r="H52" i="6"/>
  <c r="I52" i="6"/>
  <c r="J52" i="6"/>
  <c r="B52" i="6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2" i="5"/>
  <c r="D2" i="5"/>
  <c r="E2" i="5"/>
  <c r="F2" i="5"/>
  <c r="G2" i="5"/>
  <c r="H2" i="5"/>
  <c r="I2" i="5"/>
  <c r="J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2" i="5"/>
  <c r="J37" i="8" l="1"/>
  <c r="I27" i="8"/>
  <c r="I25" i="8"/>
  <c r="D10" i="8"/>
  <c r="H28" i="8"/>
  <c r="I24" i="8"/>
  <c r="F37" i="8"/>
  <c r="H27" i="8"/>
  <c r="I23" i="8"/>
  <c r="F38" i="8"/>
  <c r="C31" i="8"/>
  <c r="H26" i="8"/>
  <c r="I19" i="8"/>
  <c r="H24" i="8"/>
  <c r="B46" i="8"/>
  <c r="H23" i="8"/>
  <c r="H25" i="8"/>
  <c r="D27" i="8"/>
  <c r="E38" i="8"/>
  <c r="I10" i="8"/>
  <c r="B28" i="8"/>
  <c r="C25" i="8"/>
  <c r="D25" i="8"/>
  <c r="H33" i="8"/>
  <c r="J11" i="8"/>
  <c r="J43" i="8"/>
  <c r="B12" i="8"/>
  <c r="B10" i="8"/>
  <c r="G10" i="8"/>
  <c r="G9" i="8"/>
  <c r="H10" i="8"/>
  <c r="B29" i="8"/>
  <c r="D26" i="8"/>
  <c r="C24" i="8"/>
  <c r="D24" i="8"/>
  <c r="E23" i="8"/>
  <c r="G47" i="8"/>
  <c r="J10" i="8"/>
  <c r="G12" i="8"/>
  <c r="D23" i="8"/>
  <c r="E21" i="8"/>
  <c r="G46" i="8"/>
  <c r="I39" i="8"/>
  <c r="B9" i="8"/>
  <c r="D8" i="8"/>
  <c r="E35" i="8"/>
  <c r="F51" i="8"/>
  <c r="F17" i="8"/>
  <c r="H31" i="8"/>
  <c r="H11" i="8"/>
  <c r="I33" i="8"/>
  <c r="I17" i="8"/>
  <c r="J48" i="8"/>
  <c r="J31" i="8"/>
  <c r="C8" i="8"/>
  <c r="E20" i="8"/>
  <c r="I22" i="8"/>
  <c r="J9" i="8"/>
  <c r="B8" i="8"/>
  <c r="C18" i="8"/>
  <c r="E51" i="8"/>
  <c r="E34" i="8"/>
  <c r="F47" i="8"/>
  <c r="G18" i="8"/>
  <c r="I32" i="8"/>
  <c r="C21" i="8"/>
  <c r="B25" i="8"/>
  <c r="C46" i="8"/>
  <c r="C17" i="8"/>
  <c r="E50" i="8"/>
  <c r="F46" i="8"/>
  <c r="G51" i="8"/>
  <c r="G17" i="8"/>
  <c r="H9" i="8"/>
  <c r="I31" i="8"/>
  <c r="I11" i="8"/>
  <c r="J46" i="8"/>
  <c r="J23" i="8"/>
  <c r="C45" i="8"/>
  <c r="E49" i="8"/>
  <c r="E32" i="8"/>
  <c r="F45" i="8"/>
  <c r="G50" i="8"/>
  <c r="J45" i="8"/>
  <c r="J22" i="8"/>
  <c r="B23" i="8"/>
  <c r="E48" i="8"/>
  <c r="G49" i="8"/>
  <c r="I9" i="8"/>
  <c r="J21" i="8"/>
  <c r="B22" i="8"/>
  <c r="C32" i="8"/>
  <c r="C11" i="8"/>
  <c r="F39" i="8"/>
  <c r="G11" i="8"/>
  <c r="I8" i="8"/>
  <c r="J20" i="8"/>
  <c r="J36" i="8"/>
  <c r="B31" i="8"/>
  <c r="C23" i="8"/>
  <c r="D45" i="8"/>
  <c r="E39" i="8"/>
  <c r="F31" i="8"/>
  <c r="G34" i="8"/>
  <c r="H18" i="8"/>
  <c r="I37" i="8"/>
  <c r="J8" i="8"/>
  <c r="J35" i="8"/>
  <c r="C22" i="8"/>
  <c r="D11" i="8"/>
  <c r="H17" i="8"/>
  <c r="I36" i="8"/>
  <c r="I20" i="8"/>
  <c r="J51" i="8"/>
  <c r="J34" i="8"/>
  <c r="D22" i="8"/>
  <c r="B11" i="8"/>
  <c r="E37" i="8"/>
  <c r="D31" i="8"/>
  <c r="D9" i="8"/>
  <c r="F18" i="8"/>
  <c r="H32" i="8"/>
  <c r="I18" i="8"/>
  <c r="H5" i="6"/>
  <c r="D4" i="6"/>
  <c r="C4" i="6"/>
  <c r="I3" i="6"/>
  <c r="I6" i="8"/>
  <c r="G5" i="6"/>
  <c r="F5" i="6"/>
  <c r="J3" i="6"/>
  <c r="E5" i="6"/>
  <c r="H7" i="8"/>
  <c r="I52" i="8"/>
  <c r="I43" i="8"/>
  <c r="G43" i="8"/>
  <c r="I29" i="8"/>
  <c r="G29" i="8"/>
  <c r="I15" i="8"/>
  <c r="G15" i="8"/>
  <c r="C29" i="8"/>
  <c r="I42" i="8"/>
  <c r="G42" i="8"/>
  <c r="E42" i="8"/>
  <c r="I28" i="8"/>
  <c r="G28" i="8"/>
  <c r="E28" i="8"/>
  <c r="I14" i="8"/>
  <c r="G14" i="8"/>
  <c r="E14" i="8"/>
  <c r="B43" i="8"/>
  <c r="C28" i="8"/>
  <c r="D43" i="8"/>
  <c r="G41" i="8"/>
  <c r="E41" i="8"/>
  <c r="C41" i="8"/>
  <c r="G27" i="8"/>
  <c r="E27" i="8"/>
  <c r="C27" i="8"/>
  <c r="G13" i="8"/>
  <c r="E13" i="8"/>
  <c r="C13" i="8"/>
  <c r="J52" i="8"/>
  <c r="B42" i="8"/>
  <c r="C43" i="8"/>
  <c r="D42" i="8"/>
  <c r="H43" i="8"/>
  <c r="E40" i="8"/>
  <c r="C40" i="8"/>
  <c r="J40" i="8"/>
  <c r="E26" i="8"/>
  <c r="C26" i="8"/>
  <c r="J26" i="8"/>
  <c r="E12" i="8"/>
  <c r="C12" i="8"/>
  <c r="B41" i="8"/>
  <c r="C42" i="8"/>
  <c r="D41" i="8"/>
  <c r="F15" i="8"/>
  <c r="H42" i="8"/>
  <c r="B40" i="8"/>
  <c r="C39" i="8"/>
  <c r="D40" i="8"/>
  <c r="F14" i="8"/>
  <c r="G26" i="8"/>
  <c r="H41" i="8"/>
  <c r="F52" i="8"/>
  <c r="G52" i="8"/>
  <c r="B39" i="8"/>
  <c r="C38" i="8"/>
  <c r="D39" i="8"/>
  <c r="F13" i="8"/>
  <c r="G25" i="8"/>
  <c r="H40" i="8"/>
  <c r="B38" i="8"/>
  <c r="C37" i="8"/>
  <c r="D38" i="8"/>
  <c r="F29" i="8"/>
  <c r="F12" i="8"/>
  <c r="G24" i="8"/>
  <c r="H39" i="8"/>
  <c r="H50" i="8"/>
  <c r="F50" i="8"/>
  <c r="H36" i="8"/>
  <c r="F36" i="8"/>
  <c r="H22" i="8"/>
  <c r="F22" i="8"/>
  <c r="H8" i="8"/>
  <c r="F8" i="8"/>
  <c r="B37" i="8"/>
  <c r="C36" i="8"/>
  <c r="D37" i="8"/>
  <c r="E15" i="8"/>
  <c r="F28" i="8"/>
  <c r="F11" i="8"/>
  <c r="G40" i="8"/>
  <c r="G23" i="8"/>
  <c r="H38" i="8"/>
  <c r="I51" i="8"/>
  <c r="H49" i="8"/>
  <c r="F49" i="8"/>
  <c r="H35" i="8"/>
  <c r="F35" i="8"/>
  <c r="D35" i="8"/>
  <c r="H21" i="8"/>
  <c r="F21" i="8"/>
  <c r="D21" i="8"/>
  <c r="B36" i="8"/>
  <c r="C51" i="8"/>
  <c r="C35" i="8"/>
  <c r="D36" i="8"/>
  <c r="F27" i="8"/>
  <c r="F10" i="8"/>
  <c r="G39" i="8"/>
  <c r="G22" i="8"/>
  <c r="H37" i="8"/>
  <c r="I50" i="8"/>
  <c r="H48" i="8"/>
  <c r="F48" i="8"/>
  <c r="D48" i="8"/>
  <c r="B48" i="8"/>
  <c r="H34" i="8"/>
  <c r="F34" i="8"/>
  <c r="D34" i="8"/>
  <c r="B34" i="8"/>
  <c r="H20" i="8"/>
  <c r="F20" i="8"/>
  <c r="D20" i="8"/>
  <c r="B20" i="8"/>
  <c r="B51" i="8"/>
  <c r="B35" i="8"/>
  <c r="C50" i="8"/>
  <c r="C34" i="8"/>
  <c r="D51" i="8"/>
  <c r="D15" i="8"/>
  <c r="F43" i="8"/>
  <c r="F26" i="8"/>
  <c r="F9" i="8"/>
  <c r="G38" i="8"/>
  <c r="G21" i="8"/>
  <c r="I49" i="8"/>
  <c r="J15" i="8"/>
  <c r="D47" i="8"/>
  <c r="B47" i="8"/>
  <c r="D33" i="8"/>
  <c r="B33" i="8"/>
  <c r="D19" i="8"/>
  <c r="B19" i="8"/>
  <c r="J19" i="8"/>
  <c r="B50" i="8"/>
  <c r="C49" i="8"/>
  <c r="C33" i="8"/>
  <c r="D50" i="8"/>
  <c r="D14" i="8"/>
  <c r="E29" i="8"/>
  <c r="F42" i="8"/>
  <c r="F25" i="8"/>
  <c r="G20" i="8"/>
  <c r="H15" i="8"/>
  <c r="I48" i="8"/>
  <c r="J14" i="8"/>
  <c r="J29" i="8"/>
  <c r="B49" i="8"/>
  <c r="B15" i="8"/>
  <c r="C48" i="8"/>
  <c r="D49" i="8"/>
  <c r="D13" i="8"/>
  <c r="E25" i="8"/>
  <c r="E8" i="8"/>
  <c r="F41" i="8"/>
  <c r="F24" i="8"/>
  <c r="G36" i="8"/>
  <c r="G19" i="8"/>
  <c r="H14" i="8"/>
  <c r="I47" i="8"/>
  <c r="I13" i="8"/>
  <c r="J13" i="8"/>
  <c r="J28" i="8"/>
  <c r="B14" i="8"/>
  <c r="C47" i="8"/>
  <c r="C15" i="8"/>
  <c r="D29" i="8"/>
  <c r="D12" i="8"/>
  <c r="E24" i="8"/>
  <c r="F40" i="8"/>
  <c r="G35" i="8"/>
  <c r="H47" i="8"/>
  <c r="H13" i="8"/>
  <c r="I12" i="8"/>
  <c r="J12" i="8"/>
  <c r="J27" i="8"/>
  <c r="B52" i="8" l="1"/>
  <c r="C52" i="8"/>
  <c r="H52" i="8"/>
  <c r="D52" i="8"/>
  <c r="E52" i="8"/>
  <c r="H4" i="6"/>
  <c r="B6" i="8"/>
  <c r="D6" i="8"/>
  <c r="I2" i="6"/>
  <c r="F4" i="6"/>
  <c r="F6" i="8"/>
  <c r="J2" i="6"/>
  <c r="G4" i="6"/>
  <c r="E6" i="8"/>
  <c r="C3" i="6"/>
  <c r="J6" i="8"/>
  <c r="E4" i="6"/>
  <c r="G6" i="8"/>
  <c r="H6" i="8"/>
  <c r="C6" i="8"/>
  <c r="C5" i="8"/>
  <c r="D3" i="6"/>
  <c r="I7" i="8"/>
  <c r="G7" i="8"/>
  <c r="J7" i="8"/>
  <c r="C7" i="8"/>
  <c r="E7" i="8"/>
  <c r="D7" i="8"/>
  <c r="F7" i="8"/>
  <c r="B7" i="8"/>
  <c r="K52" i="8" l="1"/>
  <c r="H5" i="8"/>
  <c r="E5" i="8"/>
  <c r="H3" i="6"/>
  <c r="D2" i="6"/>
  <c r="B5" i="8"/>
  <c r="J5" i="8"/>
  <c r="D5" i="8"/>
  <c r="G3" i="6"/>
  <c r="F3" i="6"/>
  <c r="F4" i="8"/>
  <c r="E3" i="6"/>
  <c r="G5" i="8"/>
  <c r="I5" i="8"/>
  <c r="C2" i="6"/>
  <c r="F5" i="8"/>
  <c r="H2" i="6" l="1"/>
  <c r="E4" i="8"/>
  <c r="B4" i="8"/>
  <c r="D4" i="8"/>
  <c r="G2" i="6"/>
  <c r="C4" i="8"/>
  <c r="F2" i="6"/>
  <c r="G4" i="8"/>
  <c r="I4" i="8"/>
  <c r="J4" i="8"/>
  <c r="E2" i="6"/>
  <c r="H4" i="8"/>
  <c r="B3" i="8"/>
  <c r="D3" i="8" l="1"/>
  <c r="H3" i="8"/>
  <c r="J3" i="8"/>
  <c r="B2" i="8"/>
  <c r="E3" i="8"/>
  <c r="F3" i="8"/>
  <c r="C3" i="8"/>
  <c r="G3" i="8"/>
  <c r="I3" i="8"/>
  <c r="E2" i="8" l="1"/>
  <c r="D2" i="8"/>
  <c r="F2" i="8"/>
  <c r="C2" i="8"/>
  <c r="I2" i="8"/>
  <c r="J2" i="8"/>
  <c r="H2" i="8"/>
  <c r="G2" i="8"/>
</calcChain>
</file>

<file path=xl/sharedStrings.xml><?xml version="1.0" encoding="utf-8"?>
<sst xmlns="http://schemas.openxmlformats.org/spreadsheetml/2006/main" count="172" uniqueCount="19">
  <si>
    <t>east</t>
  </si>
  <si>
    <t>london</t>
  </si>
  <si>
    <t>north.east</t>
  </si>
  <si>
    <t>north.west</t>
  </si>
  <si>
    <t>yorkshire.and.the.humber</t>
  </si>
  <si>
    <t>east.midlands</t>
  </si>
  <si>
    <t>west.midlands</t>
  </si>
  <si>
    <t>south.east</t>
  </si>
  <si>
    <t>south.west</t>
  </si>
  <si>
    <t>year</t>
  </si>
  <si>
    <t>CPI</t>
  </si>
  <si>
    <t>wales</t>
  </si>
  <si>
    <t>scotland</t>
  </si>
  <si>
    <t>northern.ireland</t>
  </si>
  <si>
    <t>region</t>
  </si>
  <si>
    <t>runemp_avg</t>
  </si>
  <si>
    <t>rearn_avg</t>
  </si>
  <si>
    <t>minimum wage</t>
  </si>
  <si>
    <t>real min wage per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</si>
</sst>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</font>
    <font>
      <sz val="10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19" fillId="0" borderId="0"/>
    <xf numFmtId="0" fontId="19" fillId="0" borderId="0"/>
  </cellStyleXfs>
  <cellXfs count="12">
    <xf numFmtId="0" fontId="0" fillId="0" borderId="0" xfId="0"/>
    <xf numFmtId="0" fontId="16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1" fontId="0" fillId="0" borderId="0" xfId="0" applyNumberFormat="1"/>
    <xf numFmtId="0" fontId="16" fillId="0" borderId="0" xfId="0" applyFont="1"/>
    <xf numFmtId="0" fontId="20" fillId="0" borderId="0" xfId="0" applyFont="1"/>
    <xf numFmtId="164" fontId="20" fillId="0" borderId="0" xfId="0" applyNumberFormat="1" applyFont="1" applyAlignment="1">
      <alignment vertical="center" wrapText="1"/>
    </xf>
    <xf numFmtId="164" fontId="20" fillId="0" borderId="0" xfId="0" applyNumberFormat="1" applyFont="1"/>
    <xf numFmtId="164" fontId="21" fillId="0" borderId="0" xfId="0" applyNumberFormat="1" applyFont="1"/>
    <xf numFmtId="2" fontId="0" fillId="0" borderId="0" xfId="0" applyNumberFormat="1" applyAlignment="1">
      <alignment vertical="center" wrapText="1"/>
    </xf>
    <xf numFmtId="4" fontId="19" fillId="0" borderId="0" xfId="44" applyNumberFormat="1" applyAlignment="1">
      <alignment horizontal="right" vertic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1027F11B-9118-4A81-A7A3-3B4218DD7437}"/>
    <cellStyle name="Normal 3" xfId="42" xr:uid="{2ADD7664-1228-4B53-9FEA-EC2600A74107}"/>
    <cellStyle name="Normal 3 2" xfId="43" xr:uid="{D5764A38-21BC-4A66-B076-485185BE66D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61E42-6CD2-46ED-9C17-F66E3B86B79B}">
  <dimension ref="A1:M52"/>
  <sheetViews>
    <sheetView workbookViewId="0">
      <selection activeCell="M1" sqref="A1:M1"/>
    </sheetView>
  </sheetViews>
  <sheetFormatPr defaultRowHeight="14.4" x14ac:dyDescent="0.3"/>
  <cols>
    <col min="2" max="2" width="9.44140625" bestFit="1" customWidth="1"/>
    <col min="3" max="3" width="9.77734375" bestFit="1" customWidth="1"/>
    <col min="4" max="4" width="22.88671875" bestFit="1" customWidth="1"/>
    <col min="5" max="5" width="13.109375" bestFit="1" customWidth="1"/>
    <col min="6" max="6" width="13.44140625" bestFit="1" customWidth="1"/>
  </cols>
  <sheetData>
    <row r="1" spans="1:13" x14ac:dyDescent="0.3">
      <c r="A1" s="1" t="s">
        <v>9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0</v>
      </c>
      <c r="H1" s="1" t="s">
        <v>1</v>
      </c>
      <c r="I1" s="1" t="s">
        <v>7</v>
      </c>
      <c r="J1" s="1" t="s">
        <v>8</v>
      </c>
      <c r="K1" s="5" t="s">
        <v>11</v>
      </c>
      <c r="L1" s="5" t="s">
        <v>12</v>
      </c>
      <c r="M1" s="5" t="s">
        <v>13</v>
      </c>
    </row>
    <row r="2" spans="1:13" x14ac:dyDescent="0.3">
      <c r="A2" s="6">
        <v>1975</v>
      </c>
      <c r="B2" s="7">
        <v>4.3</v>
      </c>
      <c r="C2" s="7">
        <v>3.7</v>
      </c>
      <c r="D2" s="7">
        <v>2.7</v>
      </c>
      <c r="E2" s="7">
        <v>2.5</v>
      </c>
      <c r="F2" s="7">
        <v>2.9</v>
      </c>
      <c r="G2" s="7">
        <v>2.2000000000000002</v>
      </c>
      <c r="H2" s="7">
        <v>1.9</v>
      </c>
      <c r="I2" s="7">
        <v>2</v>
      </c>
      <c r="J2" s="7">
        <v>3.2</v>
      </c>
      <c r="K2" s="7">
        <v>4.5999999999999996</v>
      </c>
      <c r="L2" s="7">
        <v>4.4000000000000004</v>
      </c>
      <c r="M2" s="7">
        <v>6.3</v>
      </c>
    </row>
    <row r="3" spans="1:13" x14ac:dyDescent="0.3">
      <c r="A3" s="6">
        <v>1976</v>
      </c>
      <c r="B3" s="7">
        <v>5.4</v>
      </c>
      <c r="C3" s="7">
        <v>4.7</v>
      </c>
      <c r="D3" s="7">
        <v>3.7</v>
      </c>
      <c r="E3" s="7">
        <v>3.2</v>
      </c>
      <c r="F3" s="7">
        <v>4</v>
      </c>
      <c r="G3" s="7">
        <v>3.1</v>
      </c>
      <c r="H3" s="7">
        <v>3.1</v>
      </c>
      <c r="I3" s="7">
        <v>2.8</v>
      </c>
      <c r="J3" s="7">
        <v>4.3</v>
      </c>
      <c r="K3" s="7">
        <v>5.9</v>
      </c>
      <c r="L3" s="7">
        <v>5.9</v>
      </c>
      <c r="M3" s="7">
        <v>8.1999999999999993</v>
      </c>
    </row>
    <row r="4" spans="1:13" x14ac:dyDescent="0.3">
      <c r="A4" s="6">
        <v>1977</v>
      </c>
      <c r="B4" s="7">
        <v>6</v>
      </c>
      <c r="C4" s="7">
        <v>4.8</v>
      </c>
      <c r="D4" s="7">
        <v>3.8</v>
      </c>
      <c r="E4" s="7">
        <v>3.4</v>
      </c>
      <c r="F4" s="7">
        <v>3.9</v>
      </c>
      <c r="G4" s="7">
        <v>3.3</v>
      </c>
      <c r="H4" s="7">
        <v>3.2</v>
      </c>
      <c r="I4" s="7">
        <v>3</v>
      </c>
      <c r="J4" s="7">
        <v>4.5</v>
      </c>
      <c r="K4" s="7">
        <v>6.3</v>
      </c>
      <c r="L4" s="7">
        <v>6.8</v>
      </c>
      <c r="M4" s="7">
        <v>9.1</v>
      </c>
    </row>
    <row r="5" spans="1:13" x14ac:dyDescent="0.3">
      <c r="A5" s="6">
        <v>1978</v>
      </c>
      <c r="B5" s="7">
        <v>6.5</v>
      </c>
      <c r="C5" s="7">
        <v>4.8</v>
      </c>
      <c r="D5" s="7">
        <v>4</v>
      </c>
      <c r="E5" s="7">
        <v>3.4</v>
      </c>
      <c r="F5" s="7">
        <v>3.8</v>
      </c>
      <c r="G5" s="7">
        <v>3</v>
      </c>
      <c r="H5" s="7">
        <v>2.9</v>
      </c>
      <c r="I5" s="7">
        <v>2.7</v>
      </c>
      <c r="J5" s="7">
        <v>4.2</v>
      </c>
      <c r="K5" s="7">
        <v>6.5</v>
      </c>
      <c r="L5" s="7">
        <v>6.8</v>
      </c>
      <c r="M5" s="7">
        <v>9.6</v>
      </c>
    </row>
    <row r="6" spans="1:13" x14ac:dyDescent="0.3">
      <c r="A6" s="6">
        <v>1979</v>
      </c>
      <c r="B6" s="7">
        <v>6.5</v>
      </c>
      <c r="C6" s="7">
        <v>4.5999999999999996</v>
      </c>
      <c r="D6" s="7">
        <v>3.8</v>
      </c>
      <c r="E6" s="7">
        <v>3.1</v>
      </c>
      <c r="F6" s="7">
        <v>3.7</v>
      </c>
      <c r="G6" s="7">
        <v>2.6</v>
      </c>
      <c r="H6" s="7">
        <v>2.5</v>
      </c>
      <c r="I6" s="7">
        <v>2.2000000000000002</v>
      </c>
      <c r="J6" s="7">
        <v>3.7</v>
      </c>
      <c r="K6" s="7">
        <v>6.1</v>
      </c>
      <c r="L6" s="7">
        <v>6.6</v>
      </c>
      <c r="M6" s="7">
        <v>9.1999999999999993</v>
      </c>
    </row>
    <row r="7" spans="1:13" x14ac:dyDescent="0.3">
      <c r="A7" s="6">
        <v>1980</v>
      </c>
      <c r="B7" s="7">
        <v>8</v>
      </c>
      <c r="C7" s="7">
        <v>6</v>
      </c>
      <c r="D7" s="7">
        <v>5</v>
      </c>
      <c r="E7" s="7">
        <v>4.2</v>
      </c>
      <c r="F7" s="7">
        <v>5.2</v>
      </c>
      <c r="G7" s="7">
        <v>3.2</v>
      </c>
      <c r="H7" s="7">
        <v>3.1</v>
      </c>
      <c r="I7" s="7">
        <v>2.8</v>
      </c>
      <c r="J7" s="7">
        <v>4.2</v>
      </c>
      <c r="K7" s="7">
        <v>8.6</v>
      </c>
      <c r="L7" s="7">
        <v>8.8000000000000007</v>
      </c>
      <c r="M7" s="7">
        <v>11.7</v>
      </c>
    </row>
    <row r="8" spans="1:13" x14ac:dyDescent="0.3">
      <c r="A8" s="6">
        <v>1981</v>
      </c>
      <c r="B8" s="7">
        <v>11.8</v>
      </c>
      <c r="C8" s="7">
        <v>9.4</v>
      </c>
      <c r="D8" s="7">
        <v>8.3000000000000007</v>
      </c>
      <c r="E8" s="7">
        <v>6.9</v>
      </c>
      <c r="F8" s="7">
        <v>9.4</v>
      </c>
      <c r="G8" s="7">
        <v>5.6</v>
      </c>
      <c r="H8" s="7">
        <v>5.2</v>
      </c>
      <c r="I8" s="7">
        <v>5</v>
      </c>
      <c r="J8" s="7">
        <v>6.2</v>
      </c>
      <c r="K8" s="7">
        <v>12.4</v>
      </c>
      <c r="L8" s="7">
        <v>12</v>
      </c>
      <c r="M8" s="7">
        <v>15.6</v>
      </c>
    </row>
    <row r="9" spans="1:13" x14ac:dyDescent="0.3">
      <c r="A9" s="6">
        <v>1982</v>
      </c>
      <c r="B9" s="7">
        <v>13.5</v>
      </c>
      <c r="C9" s="7">
        <v>11.2</v>
      </c>
      <c r="D9" s="7">
        <v>9.8000000000000007</v>
      </c>
      <c r="E9" s="7">
        <v>8</v>
      </c>
      <c r="F9" s="7">
        <v>11.2</v>
      </c>
      <c r="G9" s="7">
        <v>6.7</v>
      </c>
      <c r="H9" s="7">
        <v>6.4</v>
      </c>
      <c r="I9" s="7">
        <v>6</v>
      </c>
      <c r="J9" s="7">
        <v>7.2</v>
      </c>
      <c r="K9" s="7">
        <v>13.2</v>
      </c>
      <c r="L9" s="7">
        <v>12.5</v>
      </c>
      <c r="M9" s="7">
        <v>16</v>
      </c>
    </row>
    <row r="10" spans="1:13" x14ac:dyDescent="0.3">
      <c r="A10" s="6">
        <v>1983</v>
      </c>
      <c r="B10" s="7">
        <v>14.7</v>
      </c>
      <c r="C10" s="7">
        <v>12.4</v>
      </c>
      <c r="D10" s="7">
        <v>10.8</v>
      </c>
      <c r="E10" s="7">
        <v>8.9</v>
      </c>
      <c r="F10" s="7">
        <v>12.2</v>
      </c>
      <c r="G10" s="7">
        <v>7.3</v>
      </c>
      <c r="H10" s="7">
        <v>7.4</v>
      </c>
      <c r="I10" s="7">
        <v>6.5</v>
      </c>
      <c r="J10" s="7">
        <v>8.1</v>
      </c>
      <c r="K10" s="7">
        <v>13.8</v>
      </c>
      <c r="L10" s="7">
        <v>13.3</v>
      </c>
      <c r="M10" s="7">
        <v>16.8</v>
      </c>
    </row>
    <row r="11" spans="1:13" x14ac:dyDescent="0.3">
      <c r="A11" s="6">
        <v>1984</v>
      </c>
      <c r="B11" s="7">
        <v>15.4</v>
      </c>
      <c r="C11" s="7">
        <v>12.6</v>
      </c>
      <c r="D11" s="7">
        <v>11</v>
      </c>
      <c r="E11" s="7">
        <v>9.3000000000000007</v>
      </c>
      <c r="F11" s="7">
        <v>11.9</v>
      </c>
      <c r="G11" s="7">
        <v>7.3</v>
      </c>
      <c r="H11" s="7">
        <v>7.8</v>
      </c>
      <c r="I11" s="7">
        <v>6.6</v>
      </c>
      <c r="J11" s="7">
        <v>8.3000000000000007</v>
      </c>
      <c r="K11" s="7">
        <v>13.6</v>
      </c>
      <c r="L11" s="7">
        <v>13.3</v>
      </c>
      <c r="M11" s="7">
        <v>17.2</v>
      </c>
    </row>
    <row r="12" spans="1:13" x14ac:dyDescent="0.3">
      <c r="A12" s="6">
        <v>1985</v>
      </c>
      <c r="B12" s="7">
        <v>15.6</v>
      </c>
      <c r="C12" s="7">
        <v>12.6</v>
      </c>
      <c r="D12" s="7">
        <v>11.3</v>
      </c>
      <c r="E12" s="7">
        <v>9.3000000000000007</v>
      </c>
      <c r="F12" s="7">
        <v>12.1</v>
      </c>
      <c r="G12" s="7">
        <v>7.5</v>
      </c>
      <c r="H12" s="7">
        <v>8.3000000000000007</v>
      </c>
      <c r="I12" s="7">
        <v>6.6</v>
      </c>
      <c r="J12" s="7">
        <v>8.6</v>
      </c>
      <c r="K12" s="7">
        <v>14.2</v>
      </c>
      <c r="L12" s="7">
        <v>13.7</v>
      </c>
      <c r="M12" s="7">
        <v>17</v>
      </c>
    </row>
    <row r="13" spans="1:13" x14ac:dyDescent="0.3">
      <c r="A13" s="6">
        <v>1986</v>
      </c>
      <c r="B13" s="7">
        <v>15.6</v>
      </c>
      <c r="C13" s="7">
        <v>12.7</v>
      </c>
      <c r="D13" s="7">
        <v>11.8</v>
      </c>
      <c r="E13" s="7">
        <v>9.4</v>
      </c>
      <c r="F13" s="7">
        <v>12.1</v>
      </c>
      <c r="G13" s="7">
        <v>7.8</v>
      </c>
      <c r="H13" s="7">
        <v>8.6</v>
      </c>
      <c r="I13" s="7">
        <v>6.7</v>
      </c>
      <c r="J13" s="7">
        <v>8.6999999999999993</v>
      </c>
      <c r="K13" s="7">
        <v>14</v>
      </c>
      <c r="L13" s="7">
        <v>14</v>
      </c>
      <c r="M13" s="7">
        <v>17.7</v>
      </c>
    </row>
    <row r="14" spans="1:13" x14ac:dyDescent="0.3">
      <c r="A14" s="6">
        <v>1987</v>
      </c>
      <c r="B14" s="7">
        <v>14.4</v>
      </c>
      <c r="C14" s="7">
        <v>11.5</v>
      </c>
      <c r="D14" s="7">
        <v>10.7</v>
      </c>
      <c r="E14" s="7">
        <v>8.5</v>
      </c>
      <c r="F14" s="7">
        <v>10.8</v>
      </c>
      <c r="G14" s="7">
        <v>6.6</v>
      </c>
      <c r="H14" s="7">
        <v>7.7</v>
      </c>
      <c r="I14" s="7">
        <v>5.6</v>
      </c>
      <c r="J14" s="7">
        <v>7.5</v>
      </c>
      <c r="K14" s="7">
        <v>12.3</v>
      </c>
      <c r="L14" s="7">
        <v>13.4</v>
      </c>
      <c r="M14" s="7">
        <v>17.3</v>
      </c>
    </row>
    <row r="15" spans="1:13" x14ac:dyDescent="0.3">
      <c r="A15" s="6">
        <v>1988</v>
      </c>
      <c r="B15" s="7">
        <v>12.3</v>
      </c>
      <c r="C15" s="7">
        <v>9.5</v>
      </c>
      <c r="D15" s="7">
        <v>8.8000000000000007</v>
      </c>
      <c r="E15" s="7">
        <v>6.7</v>
      </c>
      <c r="F15" s="7">
        <v>8.3000000000000007</v>
      </c>
      <c r="G15" s="7">
        <v>4.5999999999999996</v>
      </c>
      <c r="H15" s="7">
        <v>6.2</v>
      </c>
      <c r="I15" s="7">
        <v>3.8</v>
      </c>
      <c r="J15" s="7">
        <v>5.7</v>
      </c>
      <c r="K15" s="7">
        <v>10</v>
      </c>
      <c r="L15" s="7">
        <v>11.3</v>
      </c>
      <c r="M15" s="7">
        <v>15.6</v>
      </c>
    </row>
    <row r="16" spans="1:13" x14ac:dyDescent="0.3">
      <c r="A16" s="6">
        <v>1989</v>
      </c>
      <c r="B16" s="7">
        <v>10.3</v>
      </c>
      <c r="C16" s="7">
        <v>7.8</v>
      </c>
      <c r="D16" s="7">
        <v>7</v>
      </c>
      <c r="E16" s="7">
        <v>5.0999999999999996</v>
      </c>
      <c r="F16" s="7">
        <v>6.1</v>
      </c>
      <c r="G16" s="7">
        <v>3.1</v>
      </c>
      <c r="H16" s="7">
        <v>4.8</v>
      </c>
      <c r="I16" s="7">
        <v>2.6</v>
      </c>
      <c r="J16" s="7">
        <v>4.0999999999999996</v>
      </c>
      <c r="K16" s="7">
        <v>7.1</v>
      </c>
      <c r="L16" s="7">
        <v>9</v>
      </c>
      <c r="M16" s="7">
        <v>14.3</v>
      </c>
    </row>
    <row r="17" spans="1:13" x14ac:dyDescent="0.3">
      <c r="A17" s="6">
        <v>1990</v>
      </c>
      <c r="B17" s="8">
        <v>9.1</v>
      </c>
      <c r="C17" s="8">
        <v>7</v>
      </c>
      <c r="D17" s="8">
        <v>6.2</v>
      </c>
      <c r="E17" s="8">
        <v>4.5999999999999996</v>
      </c>
      <c r="F17" s="8">
        <v>5.4</v>
      </c>
      <c r="G17" s="8">
        <v>4.5999999999999996</v>
      </c>
      <c r="H17" s="8">
        <v>4.4000000000000004</v>
      </c>
      <c r="I17" s="8">
        <v>2.4</v>
      </c>
      <c r="J17" s="8">
        <v>3.6</v>
      </c>
      <c r="K17" s="7">
        <v>6.5</v>
      </c>
      <c r="L17" s="7">
        <v>7.8</v>
      </c>
      <c r="M17" s="7">
        <v>13</v>
      </c>
    </row>
    <row r="18" spans="1:13" x14ac:dyDescent="0.3">
      <c r="A18" s="6">
        <v>1991</v>
      </c>
      <c r="B18" s="8">
        <v>9.8000000000000007</v>
      </c>
      <c r="C18" s="8">
        <v>7.8</v>
      </c>
      <c r="D18" s="8">
        <v>7.3</v>
      </c>
      <c r="E18" s="8">
        <v>5.9</v>
      </c>
      <c r="F18" s="8">
        <v>6.7</v>
      </c>
      <c r="G18" s="8">
        <v>5.9</v>
      </c>
      <c r="H18" s="8">
        <v>6.3</v>
      </c>
      <c r="I18" s="8">
        <v>4.2</v>
      </c>
      <c r="J18" s="8">
        <v>5.4</v>
      </c>
      <c r="K18" s="7">
        <v>8.6</v>
      </c>
      <c r="L18" s="7">
        <v>8.4</v>
      </c>
      <c r="M18" s="7">
        <v>13.1</v>
      </c>
    </row>
    <row r="19" spans="1:13" x14ac:dyDescent="0.3">
      <c r="A19" s="6">
        <v>1992</v>
      </c>
      <c r="B19" s="8">
        <v>13</v>
      </c>
      <c r="C19" s="8">
        <v>10.9</v>
      </c>
      <c r="D19" s="8">
        <v>9.9</v>
      </c>
      <c r="E19" s="8">
        <v>9.1999999999999993</v>
      </c>
      <c r="F19" s="8">
        <v>12.1</v>
      </c>
      <c r="G19" s="8">
        <v>9.1999999999999993</v>
      </c>
      <c r="H19" s="8">
        <v>13.1</v>
      </c>
      <c r="I19" s="8">
        <v>8.5</v>
      </c>
      <c r="J19" s="8">
        <v>9.4</v>
      </c>
      <c r="K19" s="9">
        <v>10.5</v>
      </c>
      <c r="L19" s="9">
        <v>10.7</v>
      </c>
      <c r="M19" s="9">
        <v>12.4</v>
      </c>
    </row>
    <row r="20" spans="1:13" x14ac:dyDescent="0.3">
      <c r="A20" s="6">
        <v>1993</v>
      </c>
      <c r="B20" s="8">
        <v>12.6</v>
      </c>
      <c r="C20" s="8">
        <v>10.7</v>
      </c>
      <c r="D20" s="8">
        <v>10.199999999999999</v>
      </c>
      <c r="E20" s="8">
        <v>8.1</v>
      </c>
      <c r="F20" s="8">
        <v>11.5</v>
      </c>
      <c r="G20" s="8">
        <v>9.1</v>
      </c>
      <c r="H20" s="8">
        <v>14.1</v>
      </c>
      <c r="I20" s="8">
        <v>7.9</v>
      </c>
      <c r="J20" s="8">
        <v>8.5</v>
      </c>
      <c r="K20" s="9">
        <v>10.1</v>
      </c>
      <c r="L20" s="9">
        <v>9.9</v>
      </c>
      <c r="M20" s="9">
        <v>12.2</v>
      </c>
    </row>
    <row r="21" spans="1:13" x14ac:dyDescent="0.3">
      <c r="A21" s="6">
        <v>1994</v>
      </c>
      <c r="B21" s="8">
        <v>12.8</v>
      </c>
      <c r="C21" s="8">
        <v>9.3000000000000007</v>
      </c>
      <c r="D21" s="8">
        <v>9.1</v>
      </c>
      <c r="E21" s="8">
        <v>7.8</v>
      </c>
      <c r="F21" s="8">
        <v>9</v>
      </c>
      <c r="G21" s="8">
        <v>7.2</v>
      </c>
      <c r="H21" s="8">
        <v>12.1</v>
      </c>
      <c r="I21" s="8">
        <v>6.7</v>
      </c>
      <c r="J21" s="8">
        <v>7.3</v>
      </c>
      <c r="K21" s="9">
        <v>9.4</v>
      </c>
      <c r="L21" s="9">
        <v>8.5</v>
      </c>
      <c r="M21" s="9">
        <v>11.5</v>
      </c>
    </row>
    <row r="22" spans="1:13" x14ac:dyDescent="0.3">
      <c r="A22" s="6">
        <v>1995</v>
      </c>
      <c r="B22" s="8">
        <v>11</v>
      </c>
      <c r="C22" s="8">
        <v>8.5</v>
      </c>
      <c r="D22" s="8">
        <v>8.1</v>
      </c>
      <c r="E22" s="8">
        <v>7.3</v>
      </c>
      <c r="F22" s="8">
        <v>8.6</v>
      </c>
      <c r="G22" s="8">
        <v>7.1</v>
      </c>
      <c r="H22" s="8">
        <v>11.4</v>
      </c>
      <c r="I22" s="8">
        <v>6.5</v>
      </c>
      <c r="J22" s="8">
        <v>7.3</v>
      </c>
      <c r="K22" s="9">
        <v>8.1</v>
      </c>
      <c r="L22" s="9">
        <v>9</v>
      </c>
      <c r="M22" s="9">
        <v>9.4</v>
      </c>
    </row>
    <row r="23" spans="1:13" x14ac:dyDescent="0.3">
      <c r="A23" s="6">
        <v>1996</v>
      </c>
      <c r="B23" s="8">
        <v>9.6</v>
      </c>
      <c r="C23" s="8">
        <v>7.5</v>
      </c>
      <c r="D23" s="8">
        <v>8.5</v>
      </c>
      <c r="E23" s="8">
        <v>6.7</v>
      </c>
      <c r="F23" s="8">
        <v>7.3</v>
      </c>
      <c r="G23" s="8">
        <v>6.5</v>
      </c>
      <c r="H23" s="8">
        <v>10.9</v>
      </c>
      <c r="I23" s="8">
        <v>5.2</v>
      </c>
      <c r="J23" s="8">
        <v>6.2</v>
      </c>
      <c r="K23" s="9">
        <v>8.1</v>
      </c>
      <c r="L23" s="9">
        <v>9</v>
      </c>
      <c r="M23" s="9">
        <v>9.1</v>
      </c>
    </row>
    <row r="24" spans="1:13" x14ac:dyDescent="0.3">
      <c r="A24" s="6">
        <v>1997</v>
      </c>
      <c r="B24" s="8">
        <v>8</v>
      </c>
      <c r="C24" s="8">
        <v>6.7</v>
      </c>
      <c r="D24" s="8">
        <v>7</v>
      </c>
      <c r="E24" s="8">
        <v>5</v>
      </c>
      <c r="F24" s="8">
        <v>6.8</v>
      </c>
      <c r="G24" s="8">
        <v>5.0999999999999996</v>
      </c>
      <c r="H24" s="8">
        <v>9.1</v>
      </c>
      <c r="I24" s="8">
        <v>4.3</v>
      </c>
      <c r="J24" s="8">
        <v>5.0999999999999996</v>
      </c>
      <c r="K24" s="9">
        <v>6.5</v>
      </c>
      <c r="L24" s="9">
        <v>7.1</v>
      </c>
      <c r="M24" s="9">
        <v>8.5</v>
      </c>
    </row>
    <row r="25" spans="1:13" x14ac:dyDescent="0.3">
      <c r="A25" s="6">
        <v>1998</v>
      </c>
      <c r="B25" s="8">
        <v>9.6</v>
      </c>
      <c r="C25" s="8">
        <v>7.2</v>
      </c>
      <c r="D25" s="8">
        <v>6.9</v>
      </c>
      <c r="E25" s="8">
        <v>5</v>
      </c>
      <c r="F25" s="8">
        <v>6.5</v>
      </c>
      <c r="G25" s="8">
        <v>4.5</v>
      </c>
      <c r="H25" s="8">
        <v>7.8</v>
      </c>
      <c r="I25" s="8">
        <v>4</v>
      </c>
      <c r="J25" s="8">
        <v>4.5999999999999996</v>
      </c>
      <c r="K25" s="9">
        <v>7.5</v>
      </c>
      <c r="L25" s="9">
        <v>7.5</v>
      </c>
      <c r="M25" s="9">
        <v>6.8</v>
      </c>
    </row>
    <row r="26" spans="1:13" x14ac:dyDescent="0.3">
      <c r="A26" s="6">
        <v>1999</v>
      </c>
      <c r="B26" s="8">
        <v>8.4</v>
      </c>
      <c r="C26" s="8">
        <v>6.3</v>
      </c>
      <c r="D26" s="8">
        <v>6.3</v>
      </c>
      <c r="E26" s="8">
        <v>5.5</v>
      </c>
      <c r="F26" s="8">
        <v>6.6</v>
      </c>
      <c r="G26" s="8">
        <v>4.2</v>
      </c>
      <c r="H26" s="8">
        <v>7.1</v>
      </c>
      <c r="I26" s="8">
        <v>3.9</v>
      </c>
      <c r="J26" s="8">
        <v>4.3</v>
      </c>
      <c r="K26" s="9">
        <v>7.3</v>
      </c>
      <c r="L26" s="9">
        <v>7.2</v>
      </c>
      <c r="M26" s="9">
        <v>6.4</v>
      </c>
    </row>
    <row r="27" spans="1:13" x14ac:dyDescent="0.3">
      <c r="A27" s="6">
        <v>2000</v>
      </c>
      <c r="B27" s="8">
        <v>7.5</v>
      </c>
      <c r="C27" s="8">
        <v>5.3</v>
      </c>
      <c r="D27" s="8">
        <v>5.8</v>
      </c>
      <c r="E27" s="8">
        <v>4.9000000000000004</v>
      </c>
      <c r="F27" s="8">
        <v>5.9</v>
      </c>
      <c r="G27" s="8">
        <v>3.4</v>
      </c>
      <c r="H27" s="8">
        <v>6.8</v>
      </c>
      <c r="I27" s="8">
        <v>3.2</v>
      </c>
      <c r="J27" s="8">
        <v>3.8</v>
      </c>
      <c r="K27" s="9">
        <v>6.2</v>
      </c>
      <c r="L27" s="9">
        <v>6.1</v>
      </c>
      <c r="M27" s="9">
        <v>5.9</v>
      </c>
    </row>
    <row r="28" spans="1:13" x14ac:dyDescent="0.3">
      <c r="A28" s="6">
        <v>2001</v>
      </c>
      <c r="B28" s="8">
        <v>7.1</v>
      </c>
      <c r="C28" s="8">
        <v>5.3</v>
      </c>
      <c r="D28" s="8">
        <v>5.2</v>
      </c>
      <c r="E28" s="8">
        <v>4.2</v>
      </c>
      <c r="F28" s="8">
        <v>5.7</v>
      </c>
      <c r="G28" s="8">
        <v>3.8</v>
      </c>
      <c r="H28" s="8">
        <v>7.2</v>
      </c>
      <c r="I28" s="8">
        <v>3.4</v>
      </c>
      <c r="J28" s="8">
        <v>3.8</v>
      </c>
      <c r="K28" s="9">
        <v>5.5</v>
      </c>
      <c r="L28" s="9">
        <v>6.8</v>
      </c>
      <c r="M28" s="9">
        <v>6.1</v>
      </c>
    </row>
    <row r="29" spans="1:13" x14ac:dyDescent="0.3">
      <c r="A29" s="6">
        <v>2002</v>
      </c>
      <c r="B29" s="8">
        <v>6.4</v>
      </c>
      <c r="C29" s="8">
        <v>4.8</v>
      </c>
      <c r="D29" s="8">
        <v>4.8</v>
      </c>
      <c r="E29" s="8">
        <v>4.3</v>
      </c>
      <c r="F29" s="8">
        <v>5.8</v>
      </c>
      <c r="G29" s="8">
        <v>4.2</v>
      </c>
      <c r="H29" s="8">
        <v>6.8</v>
      </c>
      <c r="I29" s="8">
        <v>3.9</v>
      </c>
      <c r="J29" s="8">
        <v>3.8</v>
      </c>
      <c r="K29" s="9">
        <v>4.9000000000000004</v>
      </c>
      <c r="L29" s="9">
        <v>5.9</v>
      </c>
      <c r="M29" s="9">
        <v>5.6</v>
      </c>
    </row>
    <row r="30" spans="1:13" x14ac:dyDescent="0.3">
      <c r="A30" s="6">
        <v>2003</v>
      </c>
      <c r="B30" s="8">
        <v>6.1</v>
      </c>
      <c r="C30" s="8">
        <v>4.9000000000000004</v>
      </c>
      <c r="D30" s="8">
        <v>5</v>
      </c>
      <c r="E30" s="8">
        <v>4.5</v>
      </c>
      <c r="F30" s="8">
        <v>5.5</v>
      </c>
      <c r="G30" s="8">
        <v>3.3</v>
      </c>
      <c r="H30" s="8">
        <v>6.9</v>
      </c>
      <c r="I30" s="8">
        <v>3.7</v>
      </c>
      <c r="J30" s="8">
        <v>2.8</v>
      </c>
      <c r="K30" s="9">
        <v>5.0999999999999996</v>
      </c>
      <c r="L30" s="9">
        <v>5.7</v>
      </c>
      <c r="M30" s="9">
        <v>5.6</v>
      </c>
    </row>
    <row r="31" spans="1:13" x14ac:dyDescent="0.3">
      <c r="A31" s="6">
        <v>2004</v>
      </c>
      <c r="B31" s="8">
        <v>5.5</v>
      </c>
      <c r="C31" s="8">
        <v>4.5999999999999996</v>
      </c>
      <c r="D31" s="8">
        <v>4.5</v>
      </c>
      <c r="E31" s="8">
        <v>4.2</v>
      </c>
      <c r="F31" s="8">
        <v>4.8</v>
      </c>
      <c r="G31" s="8">
        <v>3.9</v>
      </c>
      <c r="H31" s="8">
        <v>7</v>
      </c>
      <c r="I31" s="8">
        <v>3.8</v>
      </c>
      <c r="J31" s="8">
        <v>3.6</v>
      </c>
      <c r="K31" s="9">
        <v>4.3</v>
      </c>
      <c r="L31" s="9">
        <v>5.7</v>
      </c>
      <c r="M31" s="9">
        <v>4.5999999999999996</v>
      </c>
    </row>
    <row r="32" spans="1:13" x14ac:dyDescent="0.3">
      <c r="A32" s="6">
        <v>2005</v>
      </c>
      <c r="B32" s="8">
        <v>6.6</v>
      </c>
      <c r="C32" s="8">
        <v>5</v>
      </c>
      <c r="D32" s="8">
        <v>5.2</v>
      </c>
      <c r="E32" s="8">
        <v>4.5999999999999996</v>
      </c>
      <c r="F32" s="8">
        <v>5.4</v>
      </c>
      <c r="G32" s="8">
        <v>4.7</v>
      </c>
      <c r="H32" s="8">
        <v>7.2</v>
      </c>
      <c r="I32" s="8">
        <v>4</v>
      </c>
      <c r="J32" s="8">
        <v>4</v>
      </c>
      <c r="K32" s="9">
        <v>5.0999999999999996</v>
      </c>
      <c r="L32" s="9">
        <v>5.0999999999999996</v>
      </c>
      <c r="M32" s="9">
        <v>4</v>
      </c>
    </row>
    <row r="33" spans="1:13" x14ac:dyDescent="0.3">
      <c r="A33" s="6">
        <v>2006</v>
      </c>
      <c r="B33" s="8">
        <v>6.1</v>
      </c>
      <c r="C33" s="8">
        <v>5.6</v>
      </c>
      <c r="D33" s="8">
        <v>6</v>
      </c>
      <c r="E33" s="8">
        <v>5.5</v>
      </c>
      <c r="F33" s="8">
        <v>6.7</v>
      </c>
      <c r="G33" s="8">
        <v>4.7</v>
      </c>
      <c r="H33" s="8">
        <v>7.5</v>
      </c>
      <c r="I33" s="8">
        <v>4.5</v>
      </c>
      <c r="J33" s="8">
        <v>4.0999999999999996</v>
      </c>
      <c r="K33" s="9">
        <v>5.2</v>
      </c>
      <c r="L33" s="9">
        <v>4.9000000000000004</v>
      </c>
      <c r="M33" s="9">
        <v>4.0999999999999996</v>
      </c>
    </row>
    <row r="34" spans="1:13" x14ac:dyDescent="0.3">
      <c r="A34" s="6">
        <v>2007</v>
      </c>
      <c r="B34" s="8">
        <v>5.6</v>
      </c>
      <c r="C34" s="8">
        <v>5.9</v>
      </c>
      <c r="D34" s="8">
        <v>5.0999999999999996</v>
      </c>
      <c r="E34" s="8">
        <v>5.4</v>
      </c>
      <c r="F34" s="8">
        <v>5.7</v>
      </c>
      <c r="G34" s="8">
        <v>4.4000000000000004</v>
      </c>
      <c r="H34" s="8">
        <v>7</v>
      </c>
      <c r="I34" s="8">
        <v>4.4000000000000004</v>
      </c>
      <c r="J34" s="8">
        <v>3.6</v>
      </c>
      <c r="K34" s="9">
        <v>4.7</v>
      </c>
      <c r="L34" s="9">
        <v>5</v>
      </c>
      <c r="M34" s="9">
        <v>4.2</v>
      </c>
    </row>
    <row r="35" spans="1:13" x14ac:dyDescent="0.3">
      <c r="A35" s="6">
        <v>2008</v>
      </c>
      <c r="B35" s="8">
        <v>8.1999999999999993</v>
      </c>
      <c r="C35" s="8">
        <v>7.7</v>
      </c>
      <c r="D35" s="8">
        <v>7.2</v>
      </c>
      <c r="E35" s="8">
        <v>6.3</v>
      </c>
      <c r="F35" s="8">
        <v>8.1</v>
      </c>
      <c r="G35" s="8">
        <v>5.7</v>
      </c>
      <c r="H35" s="8">
        <v>7.7</v>
      </c>
      <c r="I35" s="8">
        <v>4.8</v>
      </c>
      <c r="J35" s="8">
        <v>5.2</v>
      </c>
      <c r="K35" s="9">
        <v>7.4</v>
      </c>
      <c r="L35" s="9">
        <v>5.2</v>
      </c>
      <c r="M35" s="9">
        <v>5.7</v>
      </c>
    </row>
    <row r="36" spans="1:13" x14ac:dyDescent="0.3">
      <c r="A36" s="6">
        <v>2009</v>
      </c>
      <c r="B36" s="8">
        <v>9.4</v>
      </c>
      <c r="C36" s="8">
        <v>8.5</v>
      </c>
      <c r="D36" s="8">
        <v>8.6</v>
      </c>
      <c r="E36" s="8">
        <v>7.2</v>
      </c>
      <c r="F36" s="8">
        <v>9.1</v>
      </c>
      <c r="G36" s="8">
        <v>6.6</v>
      </c>
      <c r="H36" s="8">
        <v>8.9</v>
      </c>
      <c r="I36" s="8">
        <v>6</v>
      </c>
      <c r="J36" s="8">
        <v>6.1</v>
      </c>
      <c r="K36" s="9">
        <v>8.9</v>
      </c>
      <c r="L36" s="9">
        <v>7.7</v>
      </c>
      <c r="M36" s="9">
        <v>6.3</v>
      </c>
    </row>
    <row r="37" spans="1:13" x14ac:dyDescent="0.3">
      <c r="A37" s="6">
        <v>2010</v>
      </c>
      <c r="B37" s="8">
        <v>9.9</v>
      </c>
      <c r="C37" s="8">
        <v>7.6</v>
      </c>
      <c r="D37" s="8">
        <v>9.1</v>
      </c>
      <c r="E37" s="8">
        <v>7.8</v>
      </c>
      <c r="F37" s="8">
        <v>9.8000000000000007</v>
      </c>
      <c r="G37" s="8">
        <v>6.2</v>
      </c>
      <c r="H37" s="8">
        <v>9.5</v>
      </c>
      <c r="I37" s="8">
        <v>6.2</v>
      </c>
      <c r="J37" s="8">
        <v>6.3</v>
      </c>
      <c r="K37" s="9">
        <v>8.5</v>
      </c>
      <c r="L37" s="9">
        <v>8</v>
      </c>
      <c r="M37" s="9">
        <v>7.9</v>
      </c>
    </row>
    <row r="38" spans="1:13" x14ac:dyDescent="0.3">
      <c r="A38" s="6">
        <v>2011</v>
      </c>
      <c r="B38" s="8">
        <v>10.7</v>
      </c>
      <c r="C38" s="8">
        <v>9.1</v>
      </c>
      <c r="D38" s="8">
        <v>9.6999999999999993</v>
      </c>
      <c r="E38" s="8">
        <v>8.1999999999999993</v>
      </c>
      <c r="F38" s="8">
        <v>9</v>
      </c>
      <c r="G38" s="8">
        <v>6.8</v>
      </c>
      <c r="H38" s="8">
        <v>10.3</v>
      </c>
      <c r="I38" s="8">
        <v>6.4</v>
      </c>
      <c r="J38" s="8">
        <v>6.3</v>
      </c>
      <c r="K38" s="9">
        <v>9.1</v>
      </c>
      <c r="L38" s="9">
        <v>8.5</v>
      </c>
      <c r="M38" s="9">
        <v>6.4</v>
      </c>
    </row>
    <row r="39" spans="1:13" x14ac:dyDescent="0.3">
      <c r="A39" s="6">
        <v>2012</v>
      </c>
      <c r="B39" s="8">
        <v>9.8000000000000007</v>
      </c>
      <c r="C39" s="8">
        <v>8.5</v>
      </c>
      <c r="D39" s="8">
        <v>9</v>
      </c>
      <c r="E39" s="8">
        <v>7.7</v>
      </c>
      <c r="F39" s="8">
        <v>8.9</v>
      </c>
      <c r="G39" s="8">
        <v>6.6</v>
      </c>
      <c r="H39" s="8">
        <v>8.6999999999999993</v>
      </c>
      <c r="I39" s="8">
        <v>6.6</v>
      </c>
      <c r="J39" s="8">
        <v>5.8</v>
      </c>
      <c r="K39" s="9">
        <v>8.6</v>
      </c>
      <c r="L39" s="9">
        <v>7.3</v>
      </c>
      <c r="M39" s="9">
        <v>8.3000000000000007</v>
      </c>
    </row>
    <row r="40" spans="1:13" x14ac:dyDescent="0.3">
      <c r="A40" s="6">
        <v>2013</v>
      </c>
      <c r="B40" s="8">
        <v>9.5</v>
      </c>
      <c r="C40" s="8">
        <v>8.1</v>
      </c>
      <c r="D40" s="8">
        <v>8.6999999999999993</v>
      </c>
      <c r="E40" s="8">
        <v>7</v>
      </c>
      <c r="F40" s="8">
        <v>8.1999999999999993</v>
      </c>
      <c r="G40" s="8">
        <v>5.8</v>
      </c>
      <c r="H40" s="8">
        <v>8.3000000000000007</v>
      </c>
      <c r="I40" s="8">
        <v>5.3</v>
      </c>
      <c r="J40" s="8">
        <v>5.9</v>
      </c>
      <c r="K40" s="9">
        <v>6.8</v>
      </c>
      <c r="L40" s="9">
        <v>6.7</v>
      </c>
      <c r="M40" s="9">
        <v>7.4</v>
      </c>
    </row>
    <row r="41" spans="1:13" x14ac:dyDescent="0.3">
      <c r="A41" s="6">
        <v>2014</v>
      </c>
      <c r="B41" s="8">
        <v>7.8</v>
      </c>
      <c r="C41" s="8">
        <v>6.3</v>
      </c>
      <c r="D41" s="8">
        <v>6.1</v>
      </c>
      <c r="E41" s="8">
        <v>4.9000000000000004</v>
      </c>
      <c r="F41" s="8">
        <v>6.4</v>
      </c>
      <c r="G41" s="8">
        <v>5.0999999999999996</v>
      </c>
      <c r="H41" s="8">
        <v>6.1</v>
      </c>
      <c r="I41" s="8">
        <v>4.5999999999999996</v>
      </c>
      <c r="J41" s="8">
        <v>4.5</v>
      </c>
      <c r="K41" s="9">
        <v>6.3</v>
      </c>
      <c r="L41" s="9">
        <v>5.6</v>
      </c>
      <c r="M41" s="9">
        <v>6</v>
      </c>
    </row>
    <row r="42" spans="1:13" x14ac:dyDescent="0.3">
      <c r="A42" s="6">
        <v>2015</v>
      </c>
      <c r="B42" s="8">
        <v>7.8</v>
      </c>
      <c r="C42" s="8">
        <v>5</v>
      </c>
      <c r="D42" s="8">
        <v>6.1</v>
      </c>
      <c r="E42" s="8">
        <v>4.4000000000000004</v>
      </c>
      <c r="F42" s="8">
        <v>5.4</v>
      </c>
      <c r="G42" s="8">
        <v>3.5</v>
      </c>
      <c r="H42" s="8">
        <v>6.2</v>
      </c>
      <c r="I42" s="8">
        <v>3.9</v>
      </c>
      <c r="J42" s="8">
        <v>3.8</v>
      </c>
      <c r="K42" s="9">
        <v>5.0999999999999996</v>
      </c>
      <c r="L42" s="9">
        <v>6</v>
      </c>
      <c r="M42" s="9">
        <v>6.1</v>
      </c>
    </row>
    <row r="43" spans="1:13" x14ac:dyDescent="0.3">
      <c r="A43" s="6">
        <v>2016</v>
      </c>
      <c r="B43" s="8">
        <v>6.8</v>
      </c>
      <c r="C43" s="8">
        <v>4.8</v>
      </c>
      <c r="D43" s="8">
        <v>5.2</v>
      </c>
      <c r="E43" s="8">
        <v>4.2</v>
      </c>
      <c r="F43" s="8">
        <v>5.5</v>
      </c>
      <c r="G43" s="8">
        <v>4.4000000000000004</v>
      </c>
      <c r="H43" s="8">
        <v>5.6</v>
      </c>
      <c r="I43" s="8">
        <v>3.6</v>
      </c>
      <c r="J43" s="8">
        <v>3.5</v>
      </c>
      <c r="K43" s="9">
        <v>4.3</v>
      </c>
      <c r="L43" s="9">
        <v>4.5999999999999996</v>
      </c>
      <c r="M43" s="9">
        <v>5.8</v>
      </c>
    </row>
    <row r="44" spans="1:13" x14ac:dyDescent="0.3">
      <c r="A44" s="6">
        <v>2017</v>
      </c>
      <c r="B44" s="8">
        <v>5.2</v>
      </c>
      <c r="C44" s="8">
        <v>4.2</v>
      </c>
      <c r="D44" s="8">
        <v>5</v>
      </c>
      <c r="E44" s="8">
        <v>4.0999999999999996</v>
      </c>
      <c r="F44" s="8">
        <v>4.7</v>
      </c>
      <c r="G44" s="8">
        <v>4.2</v>
      </c>
      <c r="H44" s="8">
        <v>5</v>
      </c>
      <c r="I44" s="8">
        <v>3.5</v>
      </c>
      <c r="J44" s="8">
        <v>3.6</v>
      </c>
      <c r="K44" s="9">
        <v>4.8</v>
      </c>
      <c r="L44" s="9">
        <v>4.3</v>
      </c>
      <c r="M44" s="9">
        <v>3.3</v>
      </c>
    </row>
    <row r="45" spans="1:13" x14ac:dyDescent="0.3">
      <c r="A45" s="6">
        <v>2018</v>
      </c>
      <c r="B45" s="8">
        <v>5.0999999999999996</v>
      </c>
      <c r="C45" s="8">
        <v>3.6</v>
      </c>
      <c r="D45" s="8">
        <v>5.2</v>
      </c>
      <c r="E45" s="8">
        <v>4.7</v>
      </c>
      <c r="F45" s="8">
        <v>5.0999999999999996</v>
      </c>
      <c r="G45" s="8">
        <v>3.2</v>
      </c>
      <c r="H45" s="8">
        <v>4.2</v>
      </c>
      <c r="I45" s="8">
        <v>3.1</v>
      </c>
      <c r="J45" s="8">
        <v>2.9</v>
      </c>
      <c r="K45" s="9">
        <v>4.3</v>
      </c>
      <c r="L45" s="9">
        <v>3.4</v>
      </c>
      <c r="M45" s="9">
        <v>3.5</v>
      </c>
    </row>
    <row r="46" spans="1:13" x14ac:dyDescent="0.3">
      <c r="A46" s="6">
        <v>2019</v>
      </c>
      <c r="B46" s="8">
        <v>6.2</v>
      </c>
      <c r="C46" s="8">
        <v>4.3</v>
      </c>
      <c r="D46" s="8">
        <v>4.5</v>
      </c>
      <c r="E46" s="8">
        <v>3.9</v>
      </c>
      <c r="F46" s="8">
        <v>4.4000000000000004</v>
      </c>
      <c r="G46" s="8">
        <v>3.5</v>
      </c>
      <c r="H46" s="8">
        <v>4.5</v>
      </c>
      <c r="I46" s="8">
        <v>3.2</v>
      </c>
      <c r="J46" s="8">
        <v>2.9</v>
      </c>
      <c r="K46" s="9">
        <v>3.3</v>
      </c>
      <c r="L46" s="9">
        <v>3.6</v>
      </c>
      <c r="M46" s="9">
        <v>2.4</v>
      </c>
    </row>
    <row r="47" spans="1:13" x14ac:dyDescent="0.3">
      <c r="A47" s="6">
        <v>2020</v>
      </c>
      <c r="B47" s="8">
        <v>6.2</v>
      </c>
      <c r="C47" s="8">
        <v>5.4</v>
      </c>
      <c r="D47" s="8">
        <v>5.3</v>
      </c>
      <c r="E47" s="8">
        <v>5.4</v>
      </c>
      <c r="F47" s="8">
        <v>6</v>
      </c>
      <c r="G47" s="8">
        <v>4.2</v>
      </c>
      <c r="H47" s="8">
        <v>7.6</v>
      </c>
      <c r="I47" s="8">
        <v>3.3</v>
      </c>
      <c r="J47" s="8">
        <v>4.4000000000000004</v>
      </c>
      <c r="K47" s="9">
        <v>4.7</v>
      </c>
      <c r="L47" s="9">
        <v>4.4000000000000004</v>
      </c>
      <c r="M47" s="9">
        <v>4.2</v>
      </c>
    </row>
    <row r="48" spans="1:13" x14ac:dyDescent="0.3">
      <c r="A48" s="6">
        <v>2021</v>
      </c>
      <c r="B48" s="8">
        <v>5.8</v>
      </c>
      <c r="C48" s="8">
        <v>4.5999999999999996</v>
      </c>
      <c r="D48" s="8">
        <v>4.2</v>
      </c>
      <c r="E48" s="8">
        <v>3.1</v>
      </c>
      <c r="F48" s="8">
        <v>5</v>
      </c>
      <c r="G48" s="8">
        <v>3.2</v>
      </c>
      <c r="H48" s="8">
        <v>5.4</v>
      </c>
      <c r="I48" s="8">
        <v>3.8</v>
      </c>
      <c r="J48" s="8">
        <v>2.9</v>
      </c>
      <c r="K48" s="9">
        <v>3.1</v>
      </c>
      <c r="L48" s="9">
        <v>3.9</v>
      </c>
      <c r="M48" s="9">
        <v>3.2</v>
      </c>
    </row>
    <row r="49" spans="1:13" x14ac:dyDescent="0.3">
      <c r="A49" s="6">
        <v>2022</v>
      </c>
      <c r="B49" s="8">
        <v>4.7</v>
      </c>
      <c r="C49" s="8">
        <v>3.7</v>
      </c>
      <c r="D49" s="8">
        <v>3.2</v>
      </c>
      <c r="E49" s="8">
        <v>3.7</v>
      </c>
      <c r="F49" s="8">
        <v>4.8</v>
      </c>
      <c r="G49" s="8">
        <v>4</v>
      </c>
      <c r="H49" s="8">
        <v>4.9000000000000004</v>
      </c>
      <c r="I49" s="8">
        <v>3.9</v>
      </c>
      <c r="J49" s="8">
        <v>2.6</v>
      </c>
      <c r="K49" s="9">
        <v>3.5</v>
      </c>
      <c r="L49" s="9">
        <v>3.4</v>
      </c>
      <c r="M49" s="9">
        <v>2.2000000000000002</v>
      </c>
    </row>
    <row r="50" spans="1:13" x14ac:dyDescent="0.3">
      <c r="A50" s="6">
        <v>2023</v>
      </c>
      <c r="B50" s="8">
        <v>4</v>
      </c>
      <c r="C50" s="8">
        <v>4.8</v>
      </c>
      <c r="D50" s="8">
        <v>3.7</v>
      </c>
      <c r="E50" s="8">
        <v>5.2</v>
      </c>
      <c r="F50" s="8">
        <v>4.3</v>
      </c>
      <c r="G50" s="8">
        <v>3.9</v>
      </c>
      <c r="H50" s="8">
        <v>3.8</v>
      </c>
      <c r="I50" s="8">
        <v>4</v>
      </c>
      <c r="J50" s="8">
        <v>3.4</v>
      </c>
      <c r="K50" s="9">
        <v>4.0999999999999996</v>
      </c>
      <c r="L50" s="9">
        <v>4.3</v>
      </c>
      <c r="M50" s="9">
        <v>2.2000000000000002</v>
      </c>
    </row>
    <row r="51" spans="1:13" x14ac:dyDescent="0.3">
      <c r="A51" s="6">
        <v>2024</v>
      </c>
      <c r="B51" s="8">
        <v>4.7</v>
      </c>
      <c r="C51" s="8">
        <v>3.9</v>
      </c>
      <c r="D51" s="8">
        <v>4</v>
      </c>
      <c r="E51" s="8">
        <v>4.2</v>
      </c>
      <c r="F51" s="8">
        <v>4.5</v>
      </c>
      <c r="G51" s="8">
        <v>4.3</v>
      </c>
      <c r="H51" s="8">
        <v>6.3</v>
      </c>
      <c r="I51" s="8">
        <v>4</v>
      </c>
      <c r="J51" s="8">
        <v>3.5</v>
      </c>
      <c r="K51" s="9">
        <v>5.4</v>
      </c>
      <c r="L51" s="9">
        <v>3.7</v>
      </c>
      <c r="M51" s="9">
        <v>1.5</v>
      </c>
    </row>
    <row r="52" spans="1:13" x14ac:dyDescent="0.3">
      <c r="A52" s="6">
        <v>2025</v>
      </c>
      <c r="B52" s="8">
        <v>7.1</v>
      </c>
      <c r="C52" s="8">
        <v>4.7</v>
      </c>
      <c r="D52" s="8">
        <v>6</v>
      </c>
      <c r="E52" s="8">
        <v>5.6</v>
      </c>
      <c r="F52" s="8">
        <v>6.1</v>
      </c>
      <c r="G52" s="8">
        <v>4.3</v>
      </c>
      <c r="H52" s="8">
        <v>7.9</v>
      </c>
      <c r="I52" s="8">
        <v>4</v>
      </c>
      <c r="J52" s="8">
        <v>3.9</v>
      </c>
      <c r="K52" s="9">
        <v>3.5</v>
      </c>
      <c r="L52" s="9">
        <v>3.9</v>
      </c>
      <c r="M52" s="9">
        <v>2.2000000000000002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27435-6ECE-4A15-8C1B-C2BFE3180B88}">
  <dimension ref="A1:M52"/>
  <sheetViews>
    <sheetView workbookViewId="0">
      <selection activeCell="O5" sqref="O5"/>
    </sheetView>
  </sheetViews>
  <sheetFormatPr defaultRowHeight="14.4" x14ac:dyDescent="0.3"/>
  <sheetData>
    <row r="1" spans="1:13" x14ac:dyDescent="0.3">
      <c r="A1" s="1" t="s">
        <v>9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0</v>
      </c>
      <c r="H1" s="1" t="s">
        <v>1</v>
      </c>
      <c r="I1" s="1" t="s">
        <v>7</v>
      </c>
      <c r="J1" s="1" t="s">
        <v>8</v>
      </c>
      <c r="K1" s="5" t="s">
        <v>11</v>
      </c>
      <c r="L1" s="5" t="s">
        <v>12</v>
      </c>
      <c r="M1" s="5" t="s">
        <v>13</v>
      </c>
    </row>
    <row r="2" spans="1:13" x14ac:dyDescent="0.3">
      <c r="A2">
        <v>1975</v>
      </c>
      <c r="B2">
        <f>unemp!B2-AVERAGE(unemp!B$2:B$52)</f>
        <v>-4.4058823529411777</v>
      </c>
      <c r="C2">
        <f>unemp!C2-AVERAGE(unemp!C$2:C$52)</f>
        <v>-3.2882352941176496</v>
      </c>
      <c r="D2">
        <f>unemp!D2-AVERAGE(unemp!D$2:D$52)</f>
        <v>-4.052941176470588</v>
      </c>
      <c r="E2">
        <f>unemp!E2-AVERAGE(unemp!E$2:E$52)</f>
        <v>-3.2294117647058806</v>
      </c>
      <c r="F2">
        <f>unemp!F2-AVERAGE(unemp!F$2:F$52)</f>
        <v>-4.1372549019607838</v>
      </c>
      <c r="G2">
        <f>unemp!G2-AVERAGE(unemp!G$2:G$52)</f>
        <v>-2.8039215686274499</v>
      </c>
      <c r="H2">
        <f>unemp!H2-AVERAGE(unemp!H$2:H$52)</f>
        <v>-5.0156862745098039</v>
      </c>
      <c r="I2">
        <f>unemp!I2-AVERAGE(unemp!I$2:I$52)</f>
        <v>-2.5019607843137264</v>
      </c>
      <c r="J2">
        <f>unemp!J2-AVERAGE(unemp!J$2:J$52)</f>
        <v>-1.8431372549019613</v>
      </c>
      <c r="K2">
        <f>unemp!K2-AVERAGE(unemp!K$2:K$52)</f>
        <v>-2.7313725490196097</v>
      </c>
      <c r="L2">
        <f>unemp!L2-AVERAGE(unemp!L$2:L$52)</f>
        <v>-2.9843137254901952</v>
      </c>
      <c r="M2">
        <f>unemp!M2-AVERAGE(unemp!M$2:M$52)</f>
        <v>-2.1058823529411752</v>
      </c>
    </row>
    <row r="3" spans="1:13" x14ac:dyDescent="0.3">
      <c r="A3">
        <v>1976</v>
      </c>
      <c r="B3">
        <f>unemp!B3-AVERAGE(unemp!B$2:B$52)</f>
        <v>-3.3058823529411772</v>
      </c>
      <c r="C3">
        <f>unemp!C3-AVERAGE(unemp!C$2:C$52)</f>
        <v>-2.2882352941176496</v>
      </c>
      <c r="D3">
        <f>unemp!D3-AVERAGE(unemp!D$2:D$52)</f>
        <v>-3.052941176470588</v>
      </c>
      <c r="E3">
        <f>unemp!E3-AVERAGE(unemp!E$2:E$52)</f>
        <v>-2.5294117647058805</v>
      </c>
      <c r="F3">
        <f>unemp!F3-AVERAGE(unemp!F$2:F$52)</f>
        <v>-3.0372549019607842</v>
      </c>
      <c r="G3">
        <f>unemp!G3-AVERAGE(unemp!G$2:G$52)</f>
        <v>-1.90392156862745</v>
      </c>
      <c r="H3">
        <f>unemp!H3-AVERAGE(unemp!H$2:H$52)</f>
        <v>-3.8156862745098032</v>
      </c>
      <c r="I3">
        <f>unemp!I3-AVERAGE(unemp!I$2:I$52)</f>
        <v>-1.7019607843137265</v>
      </c>
      <c r="J3">
        <f>unemp!J3-AVERAGE(unemp!J$2:J$52)</f>
        <v>-0.7431372549019617</v>
      </c>
      <c r="K3">
        <f>unemp!K3-AVERAGE(unemp!K$2:K$52)</f>
        <v>-1.431372549019609</v>
      </c>
      <c r="L3">
        <f>unemp!L3-AVERAGE(unemp!L$2:L$52)</f>
        <v>-1.4843137254901952</v>
      </c>
      <c r="M3">
        <f>unemp!M3-AVERAGE(unemp!M$2:M$52)</f>
        <v>-0.20588235294117574</v>
      </c>
    </row>
    <row r="4" spans="1:13" x14ac:dyDescent="0.3">
      <c r="A4">
        <v>1977</v>
      </c>
      <c r="B4">
        <f>unemp!B4-AVERAGE(unemp!B$2:B$52)</f>
        <v>-2.7058823529411775</v>
      </c>
      <c r="C4">
        <f>unemp!C4-AVERAGE(unemp!C$2:C$52)</f>
        <v>-2.1882352941176499</v>
      </c>
      <c r="D4">
        <f>unemp!D4-AVERAGE(unemp!D$2:D$52)</f>
        <v>-2.9529411764705884</v>
      </c>
      <c r="E4">
        <f>unemp!E4-AVERAGE(unemp!E$2:E$52)</f>
        <v>-2.3294117647058807</v>
      </c>
      <c r="F4">
        <f>unemp!F4-AVERAGE(unemp!F$2:F$52)</f>
        <v>-3.1372549019607843</v>
      </c>
      <c r="G4">
        <f>unemp!G4-AVERAGE(unemp!G$2:G$52)</f>
        <v>-1.7039215686274503</v>
      </c>
      <c r="H4">
        <f>unemp!H4-AVERAGE(unemp!H$2:H$52)</f>
        <v>-3.7156862745098032</v>
      </c>
      <c r="I4">
        <f>unemp!I4-AVERAGE(unemp!I$2:I$52)</f>
        <v>-1.5019607843137264</v>
      </c>
      <c r="J4">
        <f>unemp!J4-AVERAGE(unemp!J$2:J$52)</f>
        <v>-0.54313725490196152</v>
      </c>
      <c r="K4">
        <f>unemp!K4-AVERAGE(unemp!K$2:K$52)</f>
        <v>-1.0313725490196095</v>
      </c>
      <c r="L4">
        <f>unemp!L4-AVERAGE(unemp!L$2:L$52)</f>
        <v>-0.58431372549019578</v>
      </c>
      <c r="M4">
        <f>unemp!M4-AVERAGE(unemp!M$2:M$52)</f>
        <v>0.69411764705882462</v>
      </c>
    </row>
    <row r="5" spans="1:13" x14ac:dyDescent="0.3">
      <c r="A5">
        <v>1978</v>
      </c>
      <c r="B5">
        <f>unemp!B5-AVERAGE(unemp!B$2:B$52)</f>
        <v>-2.2058823529411775</v>
      </c>
      <c r="C5">
        <f>unemp!C5-AVERAGE(unemp!C$2:C$52)</f>
        <v>-2.1882352941176499</v>
      </c>
      <c r="D5">
        <f>unemp!D5-AVERAGE(unemp!D$2:D$52)</f>
        <v>-2.7529411764705882</v>
      </c>
      <c r="E5">
        <f>unemp!E5-AVERAGE(unemp!E$2:E$52)</f>
        <v>-2.3294117647058807</v>
      </c>
      <c r="F5">
        <f>unemp!F5-AVERAGE(unemp!F$2:F$52)</f>
        <v>-3.2372549019607844</v>
      </c>
      <c r="G5">
        <f>unemp!G5-AVERAGE(unemp!G$2:G$52)</f>
        <v>-2.0039215686274501</v>
      </c>
      <c r="H5">
        <f>unemp!H5-AVERAGE(unemp!H$2:H$52)</f>
        <v>-4.0156862745098039</v>
      </c>
      <c r="I5">
        <f>unemp!I5-AVERAGE(unemp!I$2:I$52)</f>
        <v>-1.8019607843137262</v>
      </c>
      <c r="J5">
        <f>unemp!J5-AVERAGE(unemp!J$2:J$52)</f>
        <v>-0.84313725490196134</v>
      </c>
      <c r="K5">
        <f>unemp!K5-AVERAGE(unemp!K$2:K$52)</f>
        <v>-0.83137254901960933</v>
      </c>
      <c r="L5">
        <f>unemp!L5-AVERAGE(unemp!L$2:L$52)</f>
        <v>-0.58431372549019578</v>
      </c>
      <c r="M5">
        <f>unemp!M5-AVERAGE(unemp!M$2:M$52)</f>
        <v>1.1941176470588246</v>
      </c>
    </row>
    <row r="6" spans="1:13" x14ac:dyDescent="0.3">
      <c r="A6">
        <v>1979</v>
      </c>
      <c r="B6">
        <f>unemp!B6-AVERAGE(unemp!B$2:B$52)</f>
        <v>-2.2058823529411775</v>
      </c>
      <c r="C6">
        <f>unemp!C6-AVERAGE(unemp!C$2:C$52)</f>
        <v>-2.3882352941176501</v>
      </c>
      <c r="D6">
        <f>unemp!D6-AVERAGE(unemp!D$2:D$52)</f>
        <v>-2.9529411764705884</v>
      </c>
      <c r="E6">
        <f>unemp!E6-AVERAGE(unemp!E$2:E$52)</f>
        <v>-2.6294117647058806</v>
      </c>
      <c r="F6">
        <f>unemp!F6-AVERAGE(unemp!F$2:F$52)</f>
        <v>-3.337254901960784</v>
      </c>
      <c r="G6">
        <f>unemp!G6-AVERAGE(unemp!G$2:G$52)</f>
        <v>-2.40392156862745</v>
      </c>
      <c r="H6">
        <f>unemp!H6-AVERAGE(unemp!H$2:H$52)</f>
        <v>-4.4156862745098033</v>
      </c>
      <c r="I6">
        <f>unemp!I6-AVERAGE(unemp!I$2:I$52)</f>
        <v>-2.3019607843137262</v>
      </c>
      <c r="J6">
        <f>unemp!J6-AVERAGE(unemp!J$2:J$52)</f>
        <v>-1.3431372549019613</v>
      </c>
      <c r="K6">
        <f>unemp!K6-AVERAGE(unemp!K$2:K$52)</f>
        <v>-1.2313725490196097</v>
      </c>
      <c r="L6">
        <f>unemp!L6-AVERAGE(unemp!L$2:L$52)</f>
        <v>-0.78431372549019596</v>
      </c>
      <c r="M6">
        <f>unemp!M6-AVERAGE(unemp!M$2:M$52)</f>
        <v>0.79411764705882426</v>
      </c>
    </row>
    <row r="7" spans="1:13" x14ac:dyDescent="0.3">
      <c r="A7">
        <v>1980</v>
      </c>
      <c r="B7">
        <f>unemp!B7-AVERAGE(unemp!B$2:B$52)</f>
        <v>-0.70588235294117752</v>
      </c>
      <c r="C7">
        <f>unemp!C7-AVERAGE(unemp!C$2:C$52)</f>
        <v>-0.98823529411764977</v>
      </c>
      <c r="D7">
        <f>unemp!D7-AVERAGE(unemp!D$2:D$52)</f>
        <v>-1.7529411764705882</v>
      </c>
      <c r="E7">
        <f>unemp!E7-AVERAGE(unemp!E$2:E$52)</f>
        <v>-1.5294117647058805</v>
      </c>
      <c r="F7">
        <f>unemp!F7-AVERAGE(unemp!F$2:F$52)</f>
        <v>-1.837254901960784</v>
      </c>
      <c r="G7">
        <f>unemp!G7-AVERAGE(unemp!G$2:G$52)</f>
        <v>-1.8039215686274499</v>
      </c>
      <c r="H7">
        <f>unemp!H7-AVERAGE(unemp!H$2:H$52)</f>
        <v>-3.8156862745098032</v>
      </c>
      <c r="I7">
        <f>unemp!I7-AVERAGE(unemp!I$2:I$52)</f>
        <v>-1.7019607843137265</v>
      </c>
      <c r="J7">
        <f>unemp!J7-AVERAGE(unemp!J$2:J$52)</f>
        <v>-0.84313725490196134</v>
      </c>
      <c r="K7">
        <f>unemp!K7-AVERAGE(unemp!K$2:K$52)</f>
        <v>1.2686274509803903</v>
      </c>
      <c r="L7">
        <f>unemp!L7-AVERAGE(unemp!L$2:L$52)</f>
        <v>1.4156862745098051</v>
      </c>
      <c r="M7">
        <f>unemp!M7-AVERAGE(unemp!M$2:M$52)</f>
        <v>3.2941176470588243</v>
      </c>
    </row>
    <row r="8" spans="1:13" x14ac:dyDescent="0.3">
      <c r="A8">
        <v>1981</v>
      </c>
      <c r="B8">
        <f>unemp!B8-AVERAGE(unemp!B$2:B$52)</f>
        <v>3.0941176470588232</v>
      </c>
      <c r="C8">
        <f>unemp!C8-AVERAGE(unemp!C$2:C$52)</f>
        <v>2.4117647058823506</v>
      </c>
      <c r="D8">
        <f>unemp!D8-AVERAGE(unemp!D$2:D$52)</f>
        <v>1.5470588235294125</v>
      </c>
      <c r="E8">
        <f>unemp!E8-AVERAGE(unemp!E$2:E$52)</f>
        <v>1.1705882352941197</v>
      </c>
      <c r="F8">
        <f>unemp!F8-AVERAGE(unemp!F$2:F$52)</f>
        <v>2.3627450980392162</v>
      </c>
      <c r="G8">
        <f>unemp!G8-AVERAGE(unemp!G$2:G$52)</f>
        <v>0.59607843137254957</v>
      </c>
      <c r="H8">
        <f>unemp!H8-AVERAGE(unemp!H$2:H$52)</f>
        <v>-1.7156862745098032</v>
      </c>
      <c r="I8">
        <f>unemp!I8-AVERAGE(unemp!I$2:I$52)</f>
        <v>0.49803921568627363</v>
      </c>
      <c r="J8">
        <f>unemp!J8-AVERAGE(unemp!J$2:J$52)</f>
        <v>1.1568627450980387</v>
      </c>
      <c r="K8">
        <f>unemp!K8-AVERAGE(unemp!K$2:K$52)</f>
        <v>5.068627450980391</v>
      </c>
      <c r="L8">
        <f>unemp!L8-AVERAGE(unemp!L$2:L$52)</f>
        <v>4.6156862745098044</v>
      </c>
      <c r="M8">
        <f>unemp!M8-AVERAGE(unemp!M$2:M$52)</f>
        <v>7.1941176470588246</v>
      </c>
    </row>
    <row r="9" spans="1:13" x14ac:dyDescent="0.3">
      <c r="A9">
        <v>1982</v>
      </c>
      <c r="B9">
        <f>unemp!B9-AVERAGE(unemp!B$2:B$52)</f>
        <v>4.7941176470588225</v>
      </c>
      <c r="C9">
        <f>unemp!C9-AVERAGE(unemp!C$2:C$52)</f>
        <v>4.2117647058823495</v>
      </c>
      <c r="D9">
        <f>unemp!D9-AVERAGE(unemp!D$2:D$52)</f>
        <v>3.0470588235294125</v>
      </c>
      <c r="E9">
        <f>unemp!E9-AVERAGE(unemp!E$2:E$52)</f>
        <v>2.2705882352941194</v>
      </c>
      <c r="F9">
        <f>unemp!F9-AVERAGE(unemp!F$2:F$52)</f>
        <v>4.1627450980392151</v>
      </c>
      <c r="G9">
        <f>unemp!G9-AVERAGE(unemp!G$2:G$52)</f>
        <v>1.6960784313725501</v>
      </c>
      <c r="H9">
        <f>unemp!H9-AVERAGE(unemp!H$2:H$52)</f>
        <v>-0.51568627450980298</v>
      </c>
      <c r="I9">
        <f>unemp!I9-AVERAGE(unemp!I$2:I$52)</f>
        <v>1.4980392156862736</v>
      </c>
      <c r="J9">
        <f>unemp!J9-AVERAGE(unemp!J$2:J$52)</f>
        <v>2.1568627450980387</v>
      </c>
      <c r="K9">
        <f>unemp!K9-AVERAGE(unemp!K$2:K$52)</f>
        <v>5.86862745098039</v>
      </c>
      <c r="L9">
        <f>unemp!L9-AVERAGE(unemp!L$2:L$52)</f>
        <v>5.1156862745098044</v>
      </c>
      <c r="M9">
        <f>unemp!M9-AVERAGE(unemp!M$2:M$52)</f>
        <v>7.594117647058825</v>
      </c>
    </row>
    <row r="10" spans="1:13" x14ac:dyDescent="0.3">
      <c r="A10">
        <v>1983</v>
      </c>
      <c r="B10">
        <f>unemp!B10-AVERAGE(unemp!B$2:B$52)</f>
        <v>5.9941176470588218</v>
      </c>
      <c r="C10">
        <f>unemp!C10-AVERAGE(unemp!C$2:C$52)</f>
        <v>5.4117647058823506</v>
      </c>
      <c r="D10">
        <f>unemp!D10-AVERAGE(unemp!D$2:D$52)</f>
        <v>4.0470588235294125</v>
      </c>
      <c r="E10">
        <f>unemp!E10-AVERAGE(unemp!E$2:E$52)</f>
        <v>3.1705882352941197</v>
      </c>
      <c r="F10">
        <f>unemp!F10-AVERAGE(unemp!F$2:F$52)</f>
        <v>5.1627450980392151</v>
      </c>
      <c r="G10">
        <f>unemp!G10-AVERAGE(unemp!G$2:G$52)</f>
        <v>2.2960784313725497</v>
      </c>
      <c r="H10">
        <f>unemp!H10-AVERAGE(unemp!H$2:H$52)</f>
        <v>0.48431372549019702</v>
      </c>
      <c r="I10">
        <f>unemp!I10-AVERAGE(unemp!I$2:I$52)</f>
        <v>1.9980392156862736</v>
      </c>
      <c r="J10">
        <f>unemp!J10-AVERAGE(unemp!J$2:J$52)</f>
        <v>3.0568627450980381</v>
      </c>
      <c r="K10">
        <f>unemp!K10-AVERAGE(unemp!K$2:K$52)</f>
        <v>6.4686274509803914</v>
      </c>
      <c r="L10">
        <f>unemp!L10-AVERAGE(unemp!L$2:L$52)</f>
        <v>5.9156862745098051</v>
      </c>
      <c r="M10">
        <f>unemp!M10-AVERAGE(unemp!M$2:M$52)</f>
        <v>8.3941176470588257</v>
      </c>
    </row>
    <row r="11" spans="1:13" x14ac:dyDescent="0.3">
      <c r="A11">
        <v>1984</v>
      </c>
      <c r="B11">
        <f>unemp!B11-AVERAGE(unemp!B$2:B$52)</f>
        <v>6.6941176470588228</v>
      </c>
      <c r="C11">
        <f>unemp!C11-AVERAGE(unemp!C$2:C$52)</f>
        <v>5.6117647058823499</v>
      </c>
      <c r="D11">
        <f>unemp!D11-AVERAGE(unemp!D$2:D$52)</f>
        <v>4.2470588235294118</v>
      </c>
      <c r="E11">
        <f>unemp!E11-AVERAGE(unemp!E$2:E$52)</f>
        <v>3.5705882352941201</v>
      </c>
      <c r="F11">
        <f>unemp!F11-AVERAGE(unemp!F$2:F$52)</f>
        <v>4.8627450980392162</v>
      </c>
      <c r="G11">
        <f>unemp!G11-AVERAGE(unemp!G$2:G$52)</f>
        <v>2.2960784313725497</v>
      </c>
      <c r="H11">
        <f>unemp!H11-AVERAGE(unemp!H$2:H$52)</f>
        <v>0.88431372549019649</v>
      </c>
      <c r="I11">
        <f>unemp!I11-AVERAGE(unemp!I$2:I$52)</f>
        <v>2.0980392156862733</v>
      </c>
      <c r="J11">
        <f>unemp!J11-AVERAGE(unemp!J$2:J$52)</f>
        <v>3.2568627450980392</v>
      </c>
      <c r="K11">
        <f>unemp!K11-AVERAGE(unemp!K$2:K$52)</f>
        <v>6.2686274509803903</v>
      </c>
      <c r="L11">
        <f>unemp!L11-AVERAGE(unemp!L$2:L$52)</f>
        <v>5.9156862745098051</v>
      </c>
      <c r="M11">
        <f>unemp!M11-AVERAGE(unemp!M$2:M$52)</f>
        <v>8.7941176470588243</v>
      </c>
    </row>
    <row r="12" spans="1:13" x14ac:dyDescent="0.3">
      <c r="A12">
        <v>1985</v>
      </c>
      <c r="B12">
        <f>unemp!B12-AVERAGE(unemp!B$2:B$52)</f>
        <v>6.8941176470588221</v>
      </c>
      <c r="C12">
        <f>unemp!C12-AVERAGE(unemp!C$2:C$52)</f>
        <v>5.6117647058823499</v>
      </c>
      <c r="D12">
        <f>unemp!D12-AVERAGE(unemp!D$2:D$52)</f>
        <v>4.5470588235294125</v>
      </c>
      <c r="E12">
        <f>unemp!E12-AVERAGE(unemp!E$2:E$52)</f>
        <v>3.5705882352941201</v>
      </c>
      <c r="F12">
        <f>unemp!F12-AVERAGE(unemp!F$2:F$52)</f>
        <v>5.0627450980392155</v>
      </c>
      <c r="G12">
        <f>unemp!G12-AVERAGE(unemp!G$2:G$52)</f>
        <v>2.4960784313725499</v>
      </c>
      <c r="H12">
        <f>unemp!H12-AVERAGE(unemp!H$2:H$52)</f>
        <v>1.3843137254901974</v>
      </c>
      <c r="I12">
        <f>unemp!I12-AVERAGE(unemp!I$2:I$52)</f>
        <v>2.0980392156862733</v>
      </c>
      <c r="J12">
        <f>unemp!J12-AVERAGE(unemp!J$2:J$52)</f>
        <v>3.5568627450980381</v>
      </c>
      <c r="K12">
        <f>unemp!K12-AVERAGE(unemp!K$2:K$52)</f>
        <v>6.86862745098039</v>
      </c>
      <c r="L12">
        <f>unemp!L12-AVERAGE(unemp!L$2:L$52)</f>
        <v>6.3156862745098037</v>
      </c>
      <c r="M12">
        <f>unemp!M12-AVERAGE(unemp!M$2:M$52)</f>
        <v>8.594117647058825</v>
      </c>
    </row>
    <row r="13" spans="1:13" x14ac:dyDescent="0.3">
      <c r="A13">
        <v>1986</v>
      </c>
      <c r="B13">
        <f>unemp!B13-AVERAGE(unemp!B$2:B$52)</f>
        <v>6.8941176470588221</v>
      </c>
      <c r="C13">
        <f>unemp!C13-AVERAGE(unemp!C$2:C$52)</f>
        <v>5.7117647058823495</v>
      </c>
      <c r="D13">
        <f>unemp!D13-AVERAGE(unemp!D$2:D$52)</f>
        <v>5.0470588235294125</v>
      </c>
      <c r="E13">
        <f>unemp!E13-AVERAGE(unemp!E$2:E$52)</f>
        <v>3.6705882352941197</v>
      </c>
      <c r="F13">
        <f>unemp!F13-AVERAGE(unemp!F$2:F$52)</f>
        <v>5.0627450980392155</v>
      </c>
      <c r="G13">
        <f>unemp!G13-AVERAGE(unemp!G$2:G$52)</f>
        <v>2.7960784313725497</v>
      </c>
      <c r="H13">
        <f>unemp!H13-AVERAGE(unemp!H$2:H$52)</f>
        <v>1.6843137254901963</v>
      </c>
      <c r="I13">
        <f>unemp!I13-AVERAGE(unemp!I$2:I$52)</f>
        <v>2.1980392156862738</v>
      </c>
      <c r="J13">
        <f>unemp!J13-AVERAGE(unemp!J$2:J$52)</f>
        <v>3.6568627450980378</v>
      </c>
      <c r="K13">
        <f>unemp!K13-AVERAGE(unemp!K$2:K$52)</f>
        <v>6.6686274509803907</v>
      </c>
      <c r="L13">
        <f>unemp!L13-AVERAGE(unemp!L$2:L$52)</f>
        <v>6.6156862745098044</v>
      </c>
      <c r="M13">
        <f>unemp!M13-AVERAGE(unemp!M$2:M$52)</f>
        <v>9.2941176470588243</v>
      </c>
    </row>
    <row r="14" spans="1:13" x14ac:dyDescent="0.3">
      <c r="A14">
        <v>1987</v>
      </c>
      <c r="B14">
        <f>unemp!B14-AVERAGE(unemp!B$2:B$52)</f>
        <v>5.6941176470588228</v>
      </c>
      <c r="C14">
        <f>unemp!C14-AVERAGE(unemp!C$2:C$52)</f>
        <v>4.5117647058823502</v>
      </c>
      <c r="D14">
        <f>unemp!D14-AVERAGE(unemp!D$2:D$52)</f>
        <v>3.9470588235294111</v>
      </c>
      <c r="E14">
        <f>unemp!E14-AVERAGE(unemp!E$2:E$52)</f>
        <v>2.7705882352941194</v>
      </c>
      <c r="F14">
        <f>unemp!F14-AVERAGE(unemp!F$2:F$52)</f>
        <v>3.7627450980392165</v>
      </c>
      <c r="G14">
        <f>unemp!G14-AVERAGE(unemp!G$2:G$52)</f>
        <v>1.5960784313725496</v>
      </c>
      <c r="H14">
        <f>unemp!H14-AVERAGE(unemp!H$2:H$52)</f>
        <v>0.78431372549019684</v>
      </c>
      <c r="I14">
        <f>unemp!I14-AVERAGE(unemp!I$2:I$52)</f>
        <v>1.0980392156862733</v>
      </c>
      <c r="J14">
        <f>unemp!J14-AVERAGE(unemp!J$2:J$52)</f>
        <v>2.4568627450980385</v>
      </c>
      <c r="K14">
        <f>unemp!K14-AVERAGE(unemp!K$2:K$52)</f>
        <v>4.9686274509803914</v>
      </c>
      <c r="L14">
        <f>unemp!L14-AVERAGE(unemp!L$2:L$52)</f>
        <v>6.0156862745098048</v>
      </c>
      <c r="M14">
        <f>unemp!M14-AVERAGE(unemp!M$2:M$52)</f>
        <v>8.8941176470588257</v>
      </c>
    </row>
    <row r="15" spans="1:13" x14ac:dyDescent="0.3">
      <c r="A15">
        <v>1988</v>
      </c>
      <c r="B15">
        <f>unemp!B15-AVERAGE(unemp!B$2:B$52)</f>
        <v>3.5941176470588232</v>
      </c>
      <c r="C15">
        <f>unemp!C15-AVERAGE(unemp!C$2:C$52)</f>
        <v>2.5117647058823502</v>
      </c>
      <c r="D15">
        <f>unemp!D15-AVERAGE(unemp!D$2:D$52)</f>
        <v>2.0470588235294125</v>
      </c>
      <c r="E15">
        <f>unemp!E15-AVERAGE(unemp!E$2:E$52)</f>
        <v>0.97058823529411953</v>
      </c>
      <c r="F15">
        <f>unemp!F15-AVERAGE(unemp!F$2:F$52)</f>
        <v>1.2627450980392165</v>
      </c>
      <c r="G15">
        <f>unemp!G15-AVERAGE(unemp!G$2:G$52)</f>
        <v>-0.40392156862745043</v>
      </c>
      <c r="H15">
        <f>unemp!H15-AVERAGE(unemp!H$2:H$52)</f>
        <v>-0.71568627450980316</v>
      </c>
      <c r="I15">
        <f>unemp!I15-AVERAGE(unemp!I$2:I$52)</f>
        <v>-0.70196078431372655</v>
      </c>
      <c r="J15">
        <f>unemp!J15-AVERAGE(unemp!J$2:J$52)</f>
        <v>0.65686274509803866</v>
      </c>
      <c r="K15">
        <f>unemp!K15-AVERAGE(unemp!K$2:K$52)</f>
        <v>2.6686274509803907</v>
      </c>
      <c r="L15">
        <f>unemp!L15-AVERAGE(unemp!L$2:L$52)</f>
        <v>3.9156862745098051</v>
      </c>
      <c r="M15">
        <f>unemp!M15-AVERAGE(unemp!M$2:M$52)</f>
        <v>7.1941176470588246</v>
      </c>
    </row>
    <row r="16" spans="1:13" x14ac:dyDescent="0.3">
      <c r="A16">
        <v>1989</v>
      </c>
      <c r="B16">
        <f>unemp!B16-AVERAGE(unemp!B$2:B$52)</f>
        <v>1.5941176470588232</v>
      </c>
      <c r="C16">
        <f>unemp!C16-AVERAGE(unemp!C$2:C$52)</f>
        <v>0.81176470588235006</v>
      </c>
      <c r="D16">
        <f>unemp!D16-AVERAGE(unemp!D$2:D$52)</f>
        <v>0.24705882352941178</v>
      </c>
      <c r="E16">
        <f>unemp!E16-AVERAGE(unemp!E$2:E$52)</f>
        <v>-0.629411764705881</v>
      </c>
      <c r="F16">
        <f>unemp!F16-AVERAGE(unemp!F$2:F$52)</f>
        <v>-0.93725490196078454</v>
      </c>
      <c r="G16">
        <f>unemp!G16-AVERAGE(unemp!G$2:G$52)</f>
        <v>-1.90392156862745</v>
      </c>
      <c r="H16">
        <f>unemp!H16-AVERAGE(unemp!H$2:H$52)</f>
        <v>-2.1156862745098035</v>
      </c>
      <c r="I16">
        <f>unemp!I16-AVERAGE(unemp!I$2:I$52)</f>
        <v>-1.9019607843137263</v>
      </c>
      <c r="J16">
        <f>unemp!J16-AVERAGE(unemp!J$2:J$52)</f>
        <v>-0.94313725490196187</v>
      </c>
      <c r="K16">
        <f>unemp!K16-AVERAGE(unemp!K$2:K$52)</f>
        <v>-0.23137254901960969</v>
      </c>
      <c r="L16">
        <f>unemp!L16-AVERAGE(unemp!L$2:L$52)</f>
        <v>1.6156862745098044</v>
      </c>
      <c r="M16">
        <f>unemp!M16-AVERAGE(unemp!M$2:M$52)</f>
        <v>5.8941176470588257</v>
      </c>
    </row>
    <row r="17" spans="1:13" x14ac:dyDescent="0.3">
      <c r="A17">
        <v>1990</v>
      </c>
      <c r="B17">
        <f>unemp!B17-AVERAGE(unemp!B$2:B$52)</f>
        <v>0.39411764705882213</v>
      </c>
      <c r="C17">
        <f>unemp!C17-AVERAGE(unemp!C$2:C$52)</f>
        <v>1.1764705882350235E-2</v>
      </c>
      <c r="D17">
        <f>unemp!D17-AVERAGE(unemp!D$2:D$52)</f>
        <v>-0.55294117647058805</v>
      </c>
      <c r="E17">
        <f>unemp!E17-AVERAGE(unemp!E$2:E$52)</f>
        <v>-1.129411764705881</v>
      </c>
      <c r="F17">
        <f>unemp!F17-AVERAGE(unemp!F$2:F$52)</f>
        <v>-1.6372549019607838</v>
      </c>
      <c r="G17">
        <f>unemp!G17-AVERAGE(unemp!G$2:G$52)</f>
        <v>-0.40392156862745043</v>
      </c>
      <c r="H17">
        <f>unemp!H17-AVERAGE(unemp!H$2:H$52)</f>
        <v>-2.515686274509803</v>
      </c>
      <c r="I17">
        <f>unemp!I17-AVERAGE(unemp!I$2:I$52)</f>
        <v>-2.1019607843137265</v>
      </c>
      <c r="J17">
        <f>unemp!J17-AVERAGE(unemp!J$2:J$52)</f>
        <v>-1.4431372549019614</v>
      </c>
      <c r="K17">
        <f>unemp!K17-AVERAGE(unemp!K$2:K$52)</f>
        <v>-0.83137254901960933</v>
      </c>
      <c r="L17">
        <f>unemp!L17-AVERAGE(unemp!L$2:L$52)</f>
        <v>0.41568627450980422</v>
      </c>
      <c r="M17">
        <f>unemp!M17-AVERAGE(unemp!M$2:M$52)</f>
        <v>4.594117647058825</v>
      </c>
    </row>
    <row r="18" spans="1:13" x14ac:dyDescent="0.3">
      <c r="A18">
        <v>1991</v>
      </c>
      <c r="B18">
        <f>unemp!B18-AVERAGE(unemp!B$2:B$52)</f>
        <v>1.0941176470588232</v>
      </c>
      <c r="C18">
        <f>unemp!C18-AVERAGE(unemp!C$2:C$52)</f>
        <v>0.81176470588235006</v>
      </c>
      <c r="D18">
        <f>unemp!D18-AVERAGE(unemp!D$2:D$52)</f>
        <v>0.5470588235294116</v>
      </c>
      <c r="E18">
        <f>unemp!E18-AVERAGE(unemp!E$2:E$52)</f>
        <v>0.17058823529411971</v>
      </c>
      <c r="F18">
        <f>unemp!F18-AVERAGE(unemp!F$2:F$52)</f>
        <v>-0.337254901960784</v>
      </c>
      <c r="G18">
        <f>unemp!G18-AVERAGE(unemp!G$2:G$52)</f>
        <v>0.89607843137255028</v>
      </c>
      <c r="H18">
        <f>unemp!H18-AVERAGE(unemp!H$2:H$52)</f>
        <v>-0.61568627450980351</v>
      </c>
      <c r="I18">
        <f>unemp!I18-AVERAGE(unemp!I$2:I$52)</f>
        <v>-0.30196078431372619</v>
      </c>
      <c r="J18">
        <f>unemp!J18-AVERAGE(unemp!J$2:J$52)</f>
        <v>0.35686274509803884</v>
      </c>
      <c r="K18">
        <f>unemp!K18-AVERAGE(unemp!K$2:K$52)</f>
        <v>1.2686274509803903</v>
      </c>
      <c r="L18">
        <f>unemp!L18-AVERAGE(unemp!L$2:L$52)</f>
        <v>1.0156862745098048</v>
      </c>
      <c r="M18">
        <f>unemp!M18-AVERAGE(unemp!M$2:M$52)</f>
        <v>4.6941176470588246</v>
      </c>
    </row>
    <row r="19" spans="1:13" x14ac:dyDescent="0.3">
      <c r="A19">
        <v>1992</v>
      </c>
      <c r="B19">
        <f>unemp!B19-AVERAGE(unemp!B$2:B$52)</f>
        <v>4.2941176470588225</v>
      </c>
      <c r="C19">
        <f>unemp!C19-AVERAGE(unemp!C$2:C$52)</f>
        <v>3.9117647058823506</v>
      </c>
      <c r="D19">
        <f>unemp!D19-AVERAGE(unemp!D$2:D$52)</f>
        <v>3.1470588235294121</v>
      </c>
      <c r="E19">
        <f>unemp!E19-AVERAGE(unemp!E$2:E$52)</f>
        <v>3.4705882352941186</v>
      </c>
      <c r="F19">
        <f>unemp!F19-AVERAGE(unemp!F$2:F$52)</f>
        <v>5.0627450980392155</v>
      </c>
      <c r="G19">
        <f>unemp!G19-AVERAGE(unemp!G$2:G$52)</f>
        <v>4.1960784313725492</v>
      </c>
      <c r="H19">
        <f>unemp!H19-AVERAGE(unemp!H$2:H$52)</f>
        <v>6.1843137254901963</v>
      </c>
      <c r="I19">
        <f>unemp!I19-AVERAGE(unemp!I$2:I$52)</f>
        <v>3.9980392156862736</v>
      </c>
      <c r="J19">
        <f>unemp!J19-AVERAGE(unemp!J$2:J$52)</f>
        <v>4.3568627450980388</v>
      </c>
      <c r="K19">
        <f>unemp!K19-AVERAGE(unemp!K$2:K$52)</f>
        <v>3.1686274509803907</v>
      </c>
      <c r="L19">
        <f>unemp!L19-AVERAGE(unemp!L$2:L$52)</f>
        <v>3.3156862745098037</v>
      </c>
      <c r="M19">
        <f>unemp!M19-AVERAGE(unemp!M$2:M$52)</f>
        <v>3.9941176470588253</v>
      </c>
    </row>
    <row r="20" spans="1:13" x14ac:dyDescent="0.3">
      <c r="A20">
        <v>1993</v>
      </c>
      <c r="B20">
        <f>unemp!B20-AVERAGE(unemp!B$2:B$52)</f>
        <v>3.8941176470588221</v>
      </c>
      <c r="C20">
        <f>unemp!C20-AVERAGE(unemp!C$2:C$52)</f>
        <v>3.7117647058823495</v>
      </c>
      <c r="D20">
        <f>unemp!D20-AVERAGE(unemp!D$2:D$52)</f>
        <v>3.4470588235294111</v>
      </c>
      <c r="E20">
        <f>unemp!E20-AVERAGE(unemp!E$2:E$52)</f>
        <v>2.370588235294119</v>
      </c>
      <c r="F20">
        <f>unemp!F20-AVERAGE(unemp!F$2:F$52)</f>
        <v>4.4627450980392158</v>
      </c>
      <c r="G20">
        <f>unemp!G20-AVERAGE(unemp!G$2:G$52)</f>
        <v>4.0960784313725496</v>
      </c>
      <c r="H20">
        <f>unemp!H20-AVERAGE(unemp!H$2:H$52)</f>
        <v>7.1843137254901963</v>
      </c>
      <c r="I20">
        <f>unemp!I20-AVERAGE(unemp!I$2:I$52)</f>
        <v>3.398039215686274</v>
      </c>
      <c r="J20">
        <f>unemp!J20-AVERAGE(unemp!J$2:J$52)</f>
        <v>3.4568627450980385</v>
      </c>
      <c r="K20">
        <f>unemp!K20-AVERAGE(unemp!K$2:K$52)</f>
        <v>2.7686274509803903</v>
      </c>
      <c r="L20">
        <f>unemp!L20-AVERAGE(unemp!L$2:L$52)</f>
        <v>2.5156862745098048</v>
      </c>
      <c r="M20">
        <f>unemp!M20-AVERAGE(unemp!M$2:M$52)</f>
        <v>3.7941176470588243</v>
      </c>
    </row>
    <row r="21" spans="1:13" x14ac:dyDescent="0.3">
      <c r="A21">
        <v>1994</v>
      </c>
      <c r="B21">
        <f>unemp!B21-AVERAGE(unemp!B$2:B$52)</f>
        <v>4.0941176470588232</v>
      </c>
      <c r="C21">
        <f>unemp!C21-AVERAGE(unemp!C$2:C$52)</f>
        <v>2.3117647058823509</v>
      </c>
      <c r="D21">
        <f>unemp!D21-AVERAGE(unemp!D$2:D$52)</f>
        <v>2.3470588235294114</v>
      </c>
      <c r="E21">
        <f>unemp!E21-AVERAGE(unemp!E$2:E$52)</f>
        <v>2.0705882352941192</v>
      </c>
      <c r="F21">
        <f>unemp!F21-AVERAGE(unemp!F$2:F$52)</f>
        <v>1.9627450980392158</v>
      </c>
      <c r="G21">
        <f>unemp!G21-AVERAGE(unemp!G$2:G$52)</f>
        <v>2.1960784313725501</v>
      </c>
      <c r="H21">
        <f>unemp!H21-AVERAGE(unemp!H$2:H$52)</f>
        <v>5.1843137254901963</v>
      </c>
      <c r="I21">
        <f>unemp!I21-AVERAGE(unemp!I$2:I$52)</f>
        <v>2.1980392156862738</v>
      </c>
      <c r="J21">
        <f>unemp!J21-AVERAGE(unemp!J$2:J$52)</f>
        <v>2.2568627450980383</v>
      </c>
      <c r="K21">
        <f>unemp!K21-AVERAGE(unemp!K$2:K$52)</f>
        <v>2.068627450980391</v>
      </c>
      <c r="L21">
        <f>unemp!L21-AVERAGE(unemp!L$2:L$52)</f>
        <v>1.1156862745098044</v>
      </c>
      <c r="M21">
        <f>unemp!M21-AVERAGE(unemp!M$2:M$52)</f>
        <v>3.094117647058825</v>
      </c>
    </row>
    <row r="22" spans="1:13" x14ac:dyDescent="0.3">
      <c r="A22">
        <v>1995</v>
      </c>
      <c r="B22">
        <f>unemp!B22-AVERAGE(unemp!B$2:B$52)</f>
        <v>2.2941176470588225</v>
      </c>
      <c r="C22">
        <f>unemp!C22-AVERAGE(unemp!C$2:C$52)</f>
        <v>1.5117647058823502</v>
      </c>
      <c r="D22">
        <f>unemp!D22-AVERAGE(unemp!D$2:D$52)</f>
        <v>1.3470588235294114</v>
      </c>
      <c r="E22">
        <f>unemp!E22-AVERAGE(unemp!E$2:E$52)</f>
        <v>1.5705882352941192</v>
      </c>
      <c r="F22">
        <f>unemp!F22-AVERAGE(unemp!F$2:F$52)</f>
        <v>1.5627450980392155</v>
      </c>
      <c r="G22">
        <f>unemp!G22-AVERAGE(unemp!G$2:G$52)</f>
        <v>2.0960784313725496</v>
      </c>
      <c r="H22">
        <f>unemp!H22-AVERAGE(unemp!H$2:H$52)</f>
        <v>4.484313725490197</v>
      </c>
      <c r="I22">
        <f>unemp!I22-AVERAGE(unemp!I$2:I$52)</f>
        <v>1.9980392156862736</v>
      </c>
      <c r="J22">
        <f>unemp!J22-AVERAGE(unemp!J$2:J$52)</f>
        <v>2.2568627450980383</v>
      </c>
      <c r="K22">
        <f>unemp!K22-AVERAGE(unemp!K$2:K$52)</f>
        <v>0.76862745098039031</v>
      </c>
      <c r="L22">
        <f>unemp!L22-AVERAGE(unemp!L$2:L$52)</f>
        <v>1.6156862745098044</v>
      </c>
      <c r="M22">
        <f>unemp!M22-AVERAGE(unemp!M$2:M$52)</f>
        <v>0.99411764705882533</v>
      </c>
    </row>
    <row r="23" spans="1:13" x14ac:dyDescent="0.3">
      <c r="A23">
        <v>1996</v>
      </c>
      <c r="B23">
        <f>unemp!B23-AVERAGE(unemp!B$2:B$52)</f>
        <v>0.89411764705882213</v>
      </c>
      <c r="C23">
        <f>unemp!C23-AVERAGE(unemp!C$2:C$52)</f>
        <v>0.51176470588235023</v>
      </c>
      <c r="D23">
        <f>unemp!D23-AVERAGE(unemp!D$2:D$52)</f>
        <v>1.7470588235294118</v>
      </c>
      <c r="E23">
        <f>unemp!E23-AVERAGE(unemp!E$2:E$52)</f>
        <v>0.97058823529411953</v>
      </c>
      <c r="F23">
        <f>unemp!F23-AVERAGE(unemp!F$2:F$52)</f>
        <v>0.26274509803921564</v>
      </c>
      <c r="G23">
        <f>unemp!G23-AVERAGE(unemp!G$2:G$52)</f>
        <v>1.4960784313725499</v>
      </c>
      <c r="H23">
        <f>unemp!H23-AVERAGE(unemp!H$2:H$52)</f>
        <v>3.984313725490197</v>
      </c>
      <c r="I23">
        <f>unemp!I23-AVERAGE(unemp!I$2:I$52)</f>
        <v>0.69803921568627381</v>
      </c>
      <c r="J23">
        <f>unemp!J23-AVERAGE(unemp!J$2:J$52)</f>
        <v>1.1568627450980387</v>
      </c>
      <c r="K23">
        <f>unemp!K23-AVERAGE(unemp!K$2:K$52)</f>
        <v>0.76862745098039031</v>
      </c>
      <c r="L23">
        <f>unemp!L23-AVERAGE(unemp!L$2:L$52)</f>
        <v>1.6156862745098044</v>
      </c>
      <c r="M23">
        <f>unemp!M23-AVERAGE(unemp!M$2:M$52)</f>
        <v>0.69411764705882462</v>
      </c>
    </row>
    <row r="24" spans="1:13" x14ac:dyDescent="0.3">
      <c r="A24">
        <v>1997</v>
      </c>
      <c r="B24">
        <f>unemp!B24-AVERAGE(unemp!B$2:B$52)</f>
        <v>-0.70588235294117752</v>
      </c>
      <c r="C24">
        <f>unemp!C24-AVERAGE(unemp!C$2:C$52)</f>
        <v>-0.28823529411764959</v>
      </c>
      <c r="D24">
        <f>unemp!D24-AVERAGE(unemp!D$2:D$52)</f>
        <v>0.24705882352941178</v>
      </c>
      <c r="E24">
        <f>unemp!E24-AVERAGE(unemp!E$2:E$52)</f>
        <v>-0.72941176470588065</v>
      </c>
      <c r="F24">
        <f>unemp!F24-AVERAGE(unemp!F$2:F$52)</f>
        <v>-0.23725490196078436</v>
      </c>
      <c r="G24">
        <f>unemp!G24-AVERAGE(unemp!G$2:G$52)</f>
        <v>9.6078431372549566E-2</v>
      </c>
      <c r="H24">
        <f>unemp!H24-AVERAGE(unemp!H$2:H$52)</f>
        <v>2.1843137254901963</v>
      </c>
      <c r="I24">
        <f>unemp!I24-AVERAGE(unemp!I$2:I$52)</f>
        <v>-0.20196078431372655</v>
      </c>
      <c r="J24">
        <f>unemp!J24-AVERAGE(unemp!J$2:J$52)</f>
        <v>5.6862745098038125E-2</v>
      </c>
      <c r="K24">
        <f>unemp!K24-AVERAGE(unemp!K$2:K$52)</f>
        <v>-0.83137254901960933</v>
      </c>
      <c r="L24">
        <f>unemp!L24-AVERAGE(unemp!L$2:L$52)</f>
        <v>-0.28431372549019596</v>
      </c>
      <c r="M24">
        <f>unemp!M24-AVERAGE(unemp!M$2:M$52)</f>
        <v>9.4117647058824971E-2</v>
      </c>
    </row>
    <row r="25" spans="1:13" x14ac:dyDescent="0.3">
      <c r="A25">
        <v>1998</v>
      </c>
      <c r="B25">
        <f>unemp!B25-AVERAGE(unemp!B$2:B$52)</f>
        <v>0.89411764705882213</v>
      </c>
      <c r="C25">
        <f>unemp!C25-AVERAGE(unemp!C$2:C$52)</f>
        <v>0.21176470588235041</v>
      </c>
      <c r="D25">
        <f>unemp!D25-AVERAGE(unemp!D$2:D$52)</f>
        <v>0.14705882352941213</v>
      </c>
      <c r="E25">
        <f>unemp!E25-AVERAGE(unemp!E$2:E$52)</f>
        <v>-0.72941176470588065</v>
      </c>
      <c r="F25">
        <f>unemp!F25-AVERAGE(unemp!F$2:F$52)</f>
        <v>-0.53725490196078418</v>
      </c>
      <c r="G25">
        <f>unemp!G25-AVERAGE(unemp!G$2:G$52)</f>
        <v>-0.50392156862745008</v>
      </c>
      <c r="H25">
        <f>unemp!H25-AVERAGE(unemp!H$2:H$52)</f>
        <v>0.88431372549019649</v>
      </c>
      <c r="I25">
        <f>unemp!I25-AVERAGE(unemp!I$2:I$52)</f>
        <v>-0.50196078431372637</v>
      </c>
      <c r="J25">
        <f>unemp!J25-AVERAGE(unemp!J$2:J$52)</f>
        <v>-0.44313725490196187</v>
      </c>
      <c r="K25">
        <f>unemp!K25-AVERAGE(unemp!K$2:K$52)</f>
        <v>0.16862745098039067</v>
      </c>
      <c r="L25">
        <f>unemp!L25-AVERAGE(unemp!L$2:L$52)</f>
        <v>0.1156862745098044</v>
      </c>
      <c r="M25">
        <f>unemp!M25-AVERAGE(unemp!M$2:M$52)</f>
        <v>-1.6058823529411752</v>
      </c>
    </row>
    <row r="26" spans="1:13" x14ac:dyDescent="0.3">
      <c r="A26">
        <v>1999</v>
      </c>
      <c r="B26">
        <f>unemp!B26-AVERAGE(unemp!B$2:B$52)</f>
        <v>-0.30588235294117716</v>
      </c>
      <c r="C26">
        <f>unemp!C26-AVERAGE(unemp!C$2:C$52)</f>
        <v>-0.68823529411764994</v>
      </c>
      <c r="D26">
        <f>unemp!D26-AVERAGE(unemp!D$2:D$52)</f>
        <v>-0.4529411764705884</v>
      </c>
      <c r="E26">
        <f>unemp!E26-AVERAGE(unemp!E$2:E$52)</f>
        <v>-0.22941176470588065</v>
      </c>
      <c r="F26">
        <f>unemp!F26-AVERAGE(unemp!F$2:F$52)</f>
        <v>-0.43725490196078454</v>
      </c>
      <c r="G26">
        <f>unemp!G26-AVERAGE(unemp!G$2:G$52)</f>
        <v>-0.8039215686274499</v>
      </c>
      <c r="H26">
        <f>unemp!H26-AVERAGE(unemp!H$2:H$52)</f>
        <v>0.18431372549019631</v>
      </c>
      <c r="I26">
        <f>unemp!I26-AVERAGE(unemp!I$2:I$52)</f>
        <v>-0.60196078431372646</v>
      </c>
      <c r="J26">
        <f>unemp!J26-AVERAGE(unemp!J$2:J$52)</f>
        <v>-0.7431372549019617</v>
      </c>
      <c r="K26">
        <f>unemp!K26-AVERAGE(unemp!K$2:K$52)</f>
        <v>-3.1372549019609508E-2</v>
      </c>
      <c r="L26">
        <f>unemp!L26-AVERAGE(unemp!L$2:L$52)</f>
        <v>-0.18431372549019542</v>
      </c>
      <c r="M26">
        <f>unemp!M26-AVERAGE(unemp!M$2:M$52)</f>
        <v>-2.0058823529411747</v>
      </c>
    </row>
    <row r="27" spans="1:13" x14ac:dyDescent="0.3">
      <c r="A27">
        <v>2000</v>
      </c>
      <c r="B27">
        <f>unemp!B27-AVERAGE(unemp!B$2:B$52)</f>
        <v>-1.2058823529411775</v>
      </c>
      <c r="C27">
        <f>unemp!C27-AVERAGE(unemp!C$2:C$52)</f>
        <v>-1.6882352941176499</v>
      </c>
      <c r="D27">
        <f>unemp!D27-AVERAGE(unemp!D$2:D$52)</f>
        <v>-0.9529411764705884</v>
      </c>
      <c r="E27">
        <f>unemp!E27-AVERAGE(unemp!E$2:E$52)</f>
        <v>-0.82941176470588029</v>
      </c>
      <c r="F27">
        <f>unemp!F27-AVERAGE(unemp!F$2:F$52)</f>
        <v>-1.1372549019607838</v>
      </c>
      <c r="G27">
        <f>unemp!G27-AVERAGE(unemp!G$2:G$52)</f>
        <v>-1.6039215686274502</v>
      </c>
      <c r="H27">
        <f>unemp!H27-AVERAGE(unemp!H$2:H$52)</f>
        <v>-0.11568627450980351</v>
      </c>
      <c r="I27">
        <f>unemp!I27-AVERAGE(unemp!I$2:I$52)</f>
        <v>-1.3019607843137262</v>
      </c>
      <c r="J27">
        <f>unemp!J27-AVERAGE(unemp!J$2:J$52)</f>
        <v>-1.2431372549019617</v>
      </c>
      <c r="K27">
        <f>unemp!K27-AVERAGE(unemp!K$2:K$52)</f>
        <v>-1.1313725490196092</v>
      </c>
      <c r="L27">
        <f>unemp!L27-AVERAGE(unemp!L$2:L$52)</f>
        <v>-1.284313725490196</v>
      </c>
      <c r="M27">
        <f>unemp!M27-AVERAGE(unemp!M$2:M$52)</f>
        <v>-2.5058823529411747</v>
      </c>
    </row>
    <row r="28" spans="1:13" x14ac:dyDescent="0.3">
      <c r="A28">
        <v>2001</v>
      </c>
      <c r="B28">
        <f>unemp!B28-AVERAGE(unemp!B$2:B$52)</f>
        <v>-1.6058823529411779</v>
      </c>
      <c r="C28">
        <f>unemp!C28-AVERAGE(unemp!C$2:C$52)</f>
        <v>-1.6882352941176499</v>
      </c>
      <c r="D28">
        <f>unemp!D28-AVERAGE(unemp!D$2:D$52)</f>
        <v>-1.552941176470588</v>
      </c>
      <c r="E28">
        <f>unemp!E28-AVERAGE(unemp!E$2:E$52)</f>
        <v>-1.5294117647058805</v>
      </c>
      <c r="F28">
        <f>unemp!F28-AVERAGE(unemp!F$2:F$52)</f>
        <v>-1.337254901960784</v>
      </c>
      <c r="G28">
        <f>unemp!G28-AVERAGE(unemp!G$2:G$52)</f>
        <v>-1.2039215686274503</v>
      </c>
      <c r="H28">
        <f>unemp!H28-AVERAGE(unemp!H$2:H$52)</f>
        <v>0.28431372549019684</v>
      </c>
      <c r="I28">
        <f>unemp!I28-AVERAGE(unemp!I$2:I$52)</f>
        <v>-1.1019607843137265</v>
      </c>
      <c r="J28">
        <f>unemp!J28-AVERAGE(unemp!J$2:J$52)</f>
        <v>-1.2431372549019617</v>
      </c>
      <c r="K28">
        <f>unemp!K28-AVERAGE(unemp!K$2:K$52)</f>
        <v>-1.8313725490196093</v>
      </c>
      <c r="L28">
        <f>unemp!L28-AVERAGE(unemp!L$2:L$52)</f>
        <v>-0.58431372549019578</v>
      </c>
      <c r="M28">
        <f>unemp!M28-AVERAGE(unemp!M$2:M$52)</f>
        <v>-2.3058823529411754</v>
      </c>
    </row>
    <row r="29" spans="1:13" x14ac:dyDescent="0.3">
      <c r="A29">
        <v>2002</v>
      </c>
      <c r="B29">
        <f>unemp!B29-AVERAGE(unemp!B$2:B$52)</f>
        <v>-2.3058823529411772</v>
      </c>
      <c r="C29">
        <f>unemp!C29-AVERAGE(unemp!C$2:C$52)</f>
        <v>-2.1882352941176499</v>
      </c>
      <c r="D29">
        <f>unemp!D29-AVERAGE(unemp!D$2:D$52)</f>
        <v>-1.9529411764705884</v>
      </c>
      <c r="E29">
        <f>unemp!E29-AVERAGE(unemp!E$2:E$52)</f>
        <v>-1.4294117647058808</v>
      </c>
      <c r="F29">
        <f>unemp!F29-AVERAGE(unemp!F$2:F$52)</f>
        <v>-1.2372549019607844</v>
      </c>
      <c r="G29">
        <f>unemp!G29-AVERAGE(unemp!G$2:G$52)</f>
        <v>-0.8039215686274499</v>
      </c>
      <c r="H29">
        <f>unemp!H29-AVERAGE(unemp!H$2:H$52)</f>
        <v>-0.11568627450980351</v>
      </c>
      <c r="I29">
        <f>unemp!I29-AVERAGE(unemp!I$2:I$52)</f>
        <v>-0.60196078431372646</v>
      </c>
      <c r="J29">
        <f>unemp!J29-AVERAGE(unemp!J$2:J$52)</f>
        <v>-1.2431372549019617</v>
      </c>
      <c r="K29">
        <f>unemp!K29-AVERAGE(unemp!K$2:K$52)</f>
        <v>-2.431372549019609</v>
      </c>
      <c r="L29">
        <f>unemp!L29-AVERAGE(unemp!L$2:L$52)</f>
        <v>-1.4843137254901952</v>
      </c>
      <c r="M29">
        <f>unemp!M29-AVERAGE(unemp!M$2:M$52)</f>
        <v>-2.8058823529411754</v>
      </c>
    </row>
    <row r="30" spans="1:13" x14ac:dyDescent="0.3">
      <c r="A30">
        <v>2003</v>
      </c>
      <c r="B30">
        <f>unemp!B30-AVERAGE(unemp!B$2:B$52)</f>
        <v>-2.6058823529411779</v>
      </c>
      <c r="C30">
        <f>unemp!C30-AVERAGE(unemp!C$2:C$52)</f>
        <v>-2.0882352941176494</v>
      </c>
      <c r="D30">
        <f>unemp!D30-AVERAGE(unemp!D$2:D$52)</f>
        <v>-1.7529411764705882</v>
      </c>
      <c r="E30">
        <f>unemp!E30-AVERAGE(unemp!E$2:E$52)</f>
        <v>-1.2294117647058806</v>
      </c>
      <c r="F30">
        <f>unemp!F30-AVERAGE(unemp!F$2:F$52)</f>
        <v>-1.5372549019607842</v>
      </c>
      <c r="G30">
        <f>unemp!G30-AVERAGE(unemp!G$2:G$52)</f>
        <v>-1.7039215686274503</v>
      </c>
      <c r="H30">
        <f>unemp!H30-AVERAGE(unemp!H$2:H$52)</f>
        <v>-1.5686274509802978E-2</v>
      </c>
      <c r="I30">
        <f>unemp!I30-AVERAGE(unemp!I$2:I$52)</f>
        <v>-0.80196078431372619</v>
      </c>
      <c r="J30">
        <f>unemp!J30-AVERAGE(unemp!J$2:J$52)</f>
        <v>-2.2431372549019617</v>
      </c>
      <c r="K30">
        <f>unemp!K30-AVERAGE(unemp!K$2:K$52)</f>
        <v>-2.2313725490196097</v>
      </c>
      <c r="L30">
        <f>unemp!L30-AVERAGE(unemp!L$2:L$52)</f>
        <v>-1.6843137254901954</v>
      </c>
      <c r="M30">
        <f>unemp!M30-AVERAGE(unemp!M$2:M$52)</f>
        <v>-2.8058823529411754</v>
      </c>
    </row>
    <row r="31" spans="1:13" x14ac:dyDescent="0.3">
      <c r="A31">
        <v>2004</v>
      </c>
      <c r="B31">
        <f>unemp!B31-AVERAGE(unemp!B$2:B$52)</f>
        <v>-3.2058823529411775</v>
      </c>
      <c r="C31">
        <f>unemp!C31-AVERAGE(unemp!C$2:C$52)</f>
        <v>-2.3882352941176501</v>
      </c>
      <c r="D31">
        <f>unemp!D31-AVERAGE(unemp!D$2:D$52)</f>
        <v>-2.2529411764705882</v>
      </c>
      <c r="E31">
        <f>unemp!E31-AVERAGE(unemp!E$2:E$52)</f>
        <v>-1.5294117647058805</v>
      </c>
      <c r="F31">
        <f>unemp!F31-AVERAGE(unemp!F$2:F$52)</f>
        <v>-2.2372549019607844</v>
      </c>
      <c r="G31">
        <f>unemp!G31-AVERAGE(unemp!G$2:G$52)</f>
        <v>-1.1039215686274502</v>
      </c>
      <c r="H31">
        <f>unemp!H31-AVERAGE(unemp!H$2:H$52)</f>
        <v>8.4313725490196667E-2</v>
      </c>
      <c r="I31">
        <f>unemp!I31-AVERAGE(unemp!I$2:I$52)</f>
        <v>-0.70196078431372655</v>
      </c>
      <c r="J31">
        <f>unemp!J31-AVERAGE(unemp!J$2:J$52)</f>
        <v>-1.4431372549019614</v>
      </c>
      <c r="K31">
        <f>unemp!K31-AVERAGE(unemp!K$2:K$52)</f>
        <v>-3.0313725490196095</v>
      </c>
      <c r="L31">
        <f>unemp!L31-AVERAGE(unemp!L$2:L$52)</f>
        <v>-1.6843137254901954</v>
      </c>
      <c r="M31">
        <f>unemp!M31-AVERAGE(unemp!M$2:M$52)</f>
        <v>-3.8058823529411754</v>
      </c>
    </row>
    <row r="32" spans="1:13" x14ac:dyDescent="0.3">
      <c r="A32">
        <v>2005</v>
      </c>
      <c r="B32">
        <f>unemp!B32-AVERAGE(unemp!B$2:B$52)</f>
        <v>-2.1058823529411779</v>
      </c>
      <c r="C32">
        <f>unemp!C32-AVERAGE(unemp!C$2:C$52)</f>
        <v>-1.9882352941176498</v>
      </c>
      <c r="D32">
        <f>unemp!D32-AVERAGE(unemp!D$2:D$52)</f>
        <v>-1.552941176470588</v>
      </c>
      <c r="E32">
        <f>unemp!E32-AVERAGE(unemp!E$2:E$52)</f>
        <v>-1.129411764705881</v>
      </c>
      <c r="F32">
        <f>unemp!F32-AVERAGE(unemp!F$2:F$52)</f>
        <v>-1.6372549019607838</v>
      </c>
      <c r="G32">
        <f>unemp!G32-AVERAGE(unemp!G$2:G$52)</f>
        <v>-0.3039215686274499</v>
      </c>
      <c r="H32">
        <f>unemp!H32-AVERAGE(unemp!H$2:H$52)</f>
        <v>0.28431372549019684</v>
      </c>
      <c r="I32">
        <f>unemp!I32-AVERAGE(unemp!I$2:I$52)</f>
        <v>-0.50196078431372637</v>
      </c>
      <c r="J32">
        <f>unemp!J32-AVERAGE(unemp!J$2:J$52)</f>
        <v>-1.0431372549019615</v>
      </c>
      <c r="K32">
        <f>unemp!K32-AVERAGE(unemp!K$2:K$52)</f>
        <v>-2.2313725490196097</v>
      </c>
      <c r="L32">
        <f>unemp!L32-AVERAGE(unemp!L$2:L$52)</f>
        <v>-2.284313725490196</v>
      </c>
      <c r="M32">
        <f>unemp!M32-AVERAGE(unemp!M$2:M$52)</f>
        <v>-4.405882352941175</v>
      </c>
    </row>
    <row r="33" spans="1:13" x14ac:dyDescent="0.3">
      <c r="A33">
        <v>2006</v>
      </c>
      <c r="B33">
        <f>unemp!B33-AVERAGE(unemp!B$2:B$52)</f>
        <v>-2.6058823529411779</v>
      </c>
      <c r="C33">
        <f>unemp!C33-AVERAGE(unemp!C$2:C$52)</f>
        <v>-1.3882352941176501</v>
      </c>
      <c r="D33">
        <f>unemp!D33-AVERAGE(unemp!D$2:D$52)</f>
        <v>-0.75294117647058822</v>
      </c>
      <c r="E33">
        <f>unemp!E33-AVERAGE(unemp!E$2:E$52)</f>
        <v>-0.22941176470588065</v>
      </c>
      <c r="F33">
        <f>unemp!F33-AVERAGE(unemp!F$2:F$52)</f>
        <v>-0.337254901960784</v>
      </c>
      <c r="G33">
        <f>unemp!G33-AVERAGE(unemp!G$2:G$52)</f>
        <v>-0.3039215686274499</v>
      </c>
      <c r="H33">
        <f>unemp!H33-AVERAGE(unemp!H$2:H$52)</f>
        <v>0.58431372549019667</v>
      </c>
      <c r="I33">
        <f>unemp!I33-AVERAGE(unemp!I$2:I$52)</f>
        <v>-1.9607843137263714E-3</v>
      </c>
      <c r="J33">
        <f>unemp!J33-AVERAGE(unemp!J$2:J$52)</f>
        <v>-0.94313725490196187</v>
      </c>
      <c r="K33">
        <f>unemp!K33-AVERAGE(unemp!K$2:K$52)</f>
        <v>-2.1313725490196092</v>
      </c>
      <c r="L33">
        <f>unemp!L33-AVERAGE(unemp!L$2:L$52)</f>
        <v>-2.4843137254901952</v>
      </c>
      <c r="M33">
        <f>unemp!M33-AVERAGE(unemp!M$2:M$52)</f>
        <v>-4.3058823529411754</v>
      </c>
    </row>
    <row r="34" spans="1:13" x14ac:dyDescent="0.3">
      <c r="A34">
        <v>2007</v>
      </c>
      <c r="B34">
        <f>unemp!B34-AVERAGE(unemp!B$2:B$52)</f>
        <v>-3.1058823529411779</v>
      </c>
      <c r="C34">
        <f>unemp!C34-AVERAGE(unemp!C$2:C$52)</f>
        <v>-1.0882352941176494</v>
      </c>
      <c r="D34">
        <f>unemp!D34-AVERAGE(unemp!D$2:D$52)</f>
        <v>-1.6529411764705886</v>
      </c>
      <c r="E34">
        <f>unemp!E34-AVERAGE(unemp!E$2:E$52)</f>
        <v>-0.32941176470588029</v>
      </c>
      <c r="F34">
        <f>unemp!F34-AVERAGE(unemp!F$2:F$52)</f>
        <v>-1.337254901960784</v>
      </c>
      <c r="G34">
        <f>unemp!G34-AVERAGE(unemp!G$2:G$52)</f>
        <v>-0.60392156862744972</v>
      </c>
      <c r="H34">
        <f>unemp!H34-AVERAGE(unemp!H$2:H$52)</f>
        <v>8.4313725490196667E-2</v>
      </c>
      <c r="I34">
        <f>unemp!I34-AVERAGE(unemp!I$2:I$52)</f>
        <v>-0.10196078431372602</v>
      </c>
      <c r="J34">
        <f>unemp!J34-AVERAGE(unemp!J$2:J$52)</f>
        <v>-1.4431372549019614</v>
      </c>
      <c r="K34">
        <f>unemp!K34-AVERAGE(unemp!K$2:K$52)</f>
        <v>-2.6313725490196092</v>
      </c>
      <c r="L34">
        <f>unemp!L34-AVERAGE(unemp!L$2:L$52)</f>
        <v>-2.3843137254901956</v>
      </c>
      <c r="M34">
        <f>unemp!M34-AVERAGE(unemp!M$2:M$52)</f>
        <v>-4.2058823529411749</v>
      </c>
    </row>
    <row r="35" spans="1:13" x14ac:dyDescent="0.3">
      <c r="A35">
        <v>2008</v>
      </c>
      <c r="B35">
        <f>unemp!B35-AVERAGE(unemp!B$2:B$52)</f>
        <v>-0.50588235294117823</v>
      </c>
      <c r="C35">
        <f>unemp!C35-AVERAGE(unemp!C$2:C$52)</f>
        <v>0.71176470588235041</v>
      </c>
      <c r="D35">
        <f>unemp!D35-AVERAGE(unemp!D$2:D$52)</f>
        <v>0.44705882352941195</v>
      </c>
      <c r="E35">
        <f>unemp!E35-AVERAGE(unemp!E$2:E$52)</f>
        <v>0.57058823529411917</v>
      </c>
      <c r="F35">
        <f>unemp!F35-AVERAGE(unemp!F$2:F$52)</f>
        <v>1.0627450980392155</v>
      </c>
      <c r="G35">
        <f>unemp!G35-AVERAGE(unemp!G$2:G$52)</f>
        <v>0.6960784313725501</v>
      </c>
      <c r="H35">
        <f>unemp!H35-AVERAGE(unemp!H$2:H$52)</f>
        <v>0.78431372549019684</v>
      </c>
      <c r="I35">
        <f>unemp!I35-AVERAGE(unemp!I$2:I$52)</f>
        <v>0.29803921568627345</v>
      </c>
      <c r="J35">
        <f>unemp!J35-AVERAGE(unemp!J$2:J$52)</f>
        <v>0.15686274509803866</v>
      </c>
      <c r="K35">
        <f>unemp!K35-AVERAGE(unemp!K$2:K$52)</f>
        <v>6.8627450980391025E-2</v>
      </c>
      <c r="L35">
        <f>unemp!L35-AVERAGE(unemp!L$2:L$52)</f>
        <v>-2.1843137254901954</v>
      </c>
      <c r="M35">
        <f>unemp!M35-AVERAGE(unemp!M$2:M$52)</f>
        <v>-2.7058823529411749</v>
      </c>
    </row>
    <row r="36" spans="1:13" x14ac:dyDescent="0.3">
      <c r="A36">
        <v>2009</v>
      </c>
      <c r="B36">
        <f>unemp!B36-AVERAGE(unemp!B$2:B$52)</f>
        <v>0.69411764705882284</v>
      </c>
      <c r="C36">
        <f>unemp!C36-AVERAGE(unemp!C$2:C$52)</f>
        <v>1.5117647058823502</v>
      </c>
      <c r="D36">
        <f>unemp!D36-AVERAGE(unemp!D$2:D$52)</f>
        <v>1.8470588235294114</v>
      </c>
      <c r="E36">
        <f>unemp!E36-AVERAGE(unemp!E$2:E$52)</f>
        <v>1.4705882352941195</v>
      </c>
      <c r="F36">
        <f>unemp!F36-AVERAGE(unemp!F$2:F$52)</f>
        <v>2.0627450980392155</v>
      </c>
      <c r="G36">
        <f>unemp!G36-AVERAGE(unemp!G$2:G$52)</f>
        <v>1.5960784313725496</v>
      </c>
      <c r="H36">
        <f>unemp!H36-AVERAGE(unemp!H$2:H$52)</f>
        <v>1.984313725490197</v>
      </c>
      <c r="I36">
        <f>unemp!I36-AVERAGE(unemp!I$2:I$52)</f>
        <v>1.4980392156862736</v>
      </c>
      <c r="J36">
        <f>unemp!J36-AVERAGE(unemp!J$2:J$52)</f>
        <v>1.0568627450980381</v>
      </c>
      <c r="K36">
        <f>unemp!K36-AVERAGE(unemp!K$2:K$52)</f>
        <v>1.568627450980391</v>
      </c>
      <c r="L36">
        <f>unemp!L36-AVERAGE(unemp!L$2:L$52)</f>
        <v>0.31568627450980458</v>
      </c>
      <c r="M36">
        <f>unemp!M36-AVERAGE(unemp!M$2:M$52)</f>
        <v>-2.1058823529411752</v>
      </c>
    </row>
    <row r="37" spans="1:13" x14ac:dyDescent="0.3">
      <c r="A37">
        <v>2010</v>
      </c>
      <c r="B37">
        <f>unemp!B37-AVERAGE(unemp!B$2:B$52)</f>
        <v>1.1941176470588228</v>
      </c>
      <c r="C37">
        <f>unemp!C37-AVERAGE(unemp!C$2:C$52)</f>
        <v>0.61176470588234988</v>
      </c>
      <c r="D37">
        <f>unemp!D37-AVERAGE(unemp!D$2:D$52)</f>
        <v>2.3470588235294114</v>
      </c>
      <c r="E37">
        <f>unemp!E37-AVERAGE(unemp!E$2:E$52)</f>
        <v>2.0705882352941192</v>
      </c>
      <c r="F37">
        <f>unemp!F37-AVERAGE(unemp!F$2:F$52)</f>
        <v>2.7627450980392165</v>
      </c>
      <c r="G37">
        <f>unemp!G37-AVERAGE(unemp!G$2:G$52)</f>
        <v>1.1960784313725501</v>
      </c>
      <c r="H37">
        <f>unemp!H37-AVERAGE(unemp!H$2:H$52)</f>
        <v>2.5843137254901967</v>
      </c>
      <c r="I37">
        <f>unemp!I37-AVERAGE(unemp!I$2:I$52)</f>
        <v>1.6980392156862738</v>
      </c>
      <c r="J37">
        <f>unemp!J37-AVERAGE(unemp!J$2:J$52)</f>
        <v>1.2568627450980383</v>
      </c>
      <c r="K37">
        <f>unemp!K37-AVERAGE(unemp!K$2:K$52)</f>
        <v>1.1686274509803907</v>
      </c>
      <c r="L37">
        <f>unemp!L37-AVERAGE(unemp!L$2:L$52)</f>
        <v>0.6156862745098044</v>
      </c>
      <c r="M37">
        <f>unemp!M37-AVERAGE(unemp!M$2:M$52)</f>
        <v>-0.50588235294117467</v>
      </c>
    </row>
    <row r="38" spans="1:13" x14ac:dyDescent="0.3">
      <c r="A38">
        <v>2011</v>
      </c>
      <c r="B38">
        <f>unemp!B38-AVERAGE(unemp!B$2:B$52)</f>
        <v>1.9941176470588218</v>
      </c>
      <c r="C38">
        <f>unemp!C38-AVERAGE(unemp!C$2:C$52)</f>
        <v>2.1117647058823499</v>
      </c>
      <c r="D38">
        <f>unemp!D38-AVERAGE(unemp!D$2:D$52)</f>
        <v>2.9470588235294111</v>
      </c>
      <c r="E38">
        <f>unemp!E38-AVERAGE(unemp!E$2:E$52)</f>
        <v>2.4705882352941186</v>
      </c>
      <c r="F38">
        <f>unemp!F38-AVERAGE(unemp!F$2:F$52)</f>
        <v>1.9627450980392158</v>
      </c>
      <c r="G38">
        <f>unemp!G38-AVERAGE(unemp!G$2:G$52)</f>
        <v>1.7960784313725497</v>
      </c>
      <c r="H38">
        <f>unemp!H38-AVERAGE(unemp!H$2:H$52)</f>
        <v>3.3843137254901974</v>
      </c>
      <c r="I38">
        <f>unemp!I38-AVERAGE(unemp!I$2:I$52)</f>
        <v>1.898039215686274</v>
      </c>
      <c r="J38">
        <f>unemp!J38-AVERAGE(unemp!J$2:J$52)</f>
        <v>1.2568627450980383</v>
      </c>
      <c r="K38">
        <f>unemp!K38-AVERAGE(unemp!K$2:K$52)</f>
        <v>1.7686274509803903</v>
      </c>
      <c r="L38">
        <f>unemp!L38-AVERAGE(unemp!L$2:L$52)</f>
        <v>1.1156862745098044</v>
      </c>
      <c r="M38">
        <f>unemp!M38-AVERAGE(unemp!M$2:M$52)</f>
        <v>-2.0058823529411747</v>
      </c>
    </row>
    <row r="39" spans="1:13" x14ac:dyDescent="0.3">
      <c r="A39">
        <v>2012</v>
      </c>
      <c r="B39">
        <f>unemp!B39-AVERAGE(unemp!B$2:B$52)</f>
        <v>1.0941176470588232</v>
      </c>
      <c r="C39">
        <f>unemp!C39-AVERAGE(unemp!C$2:C$52)</f>
        <v>1.5117647058823502</v>
      </c>
      <c r="D39">
        <f>unemp!D39-AVERAGE(unemp!D$2:D$52)</f>
        <v>2.2470588235294118</v>
      </c>
      <c r="E39">
        <f>unemp!E39-AVERAGE(unemp!E$2:E$52)</f>
        <v>1.9705882352941195</v>
      </c>
      <c r="F39">
        <f>unemp!F39-AVERAGE(unemp!F$2:F$52)</f>
        <v>1.8627450980392162</v>
      </c>
      <c r="G39">
        <f>unemp!G39-AVERAGE(unemp!G$2:G$52)</f>
        <v>1.5960784313725496</v>
      </c>
      <c r="H39">
        <f>unemp!H39-AVERAGE(unemp!H$2:H$52)</f>
        <v>1.784313725490196</v>
      </c>
      <c r="I39">
        <f>unemp!I39-AVERAGE(unemp!I$2:I$52)</f>
        <v>2.0980392156862733</v>
      </c>
      <c r="J39">
        <f>unemp!J39-AVERAGE(unemp!J$2:J$52)</f>
        <v>0.7568627450980383</v>
      </c>
      <c r="K39">
        <f>unemp!K39-AVERAGE(unemp!K$2:K$52)</f>
        <v>1.2686274509803903</v>
      </c>
      <c r="L39">
        <f>unemp!L39-AVERAGE(unemp!L$2:L$52)</f>
        <v>-8.4313725490195779E-2</v>
      </c>
      <c r="M39">
        <f>unemp!M39-AVERAGE(unemp!M$2:M$52)</f>
        <v>-0.10588235294117432</v>
      </c>
    </row>
    <row r="40" spans="1:13" x14ac:dyDescent="0.3">
      <c r="A40">
        <v>2013</v>
      </c>
      <c r="B40">
        <f>unemp!B40-AVERAGE(unemp!B$2:B$52)</f>
        <v>0.79411764705882248</v>
      </c>
      <c r="C40">
        <f>unemp!C40-AVERAGE(unemp!C$2:C$52)</f>
        <v>1.1117647058823499</v>
      </c>
      <c r="D40">
        <f>unemp!D40-AVERAGE(unemp!D$2:D$52)</f>
        <v>1.9470588235294111</v>
      </c>
      <c r="E40">
        <f>unemp!E40-AVERAGE(unemp!E$2:E$52)</f>
        <v>1.2705882352941194</v>
      </c>
      <c r="F40">
        <f>unemp!F40-AVERAGE(unemp!F$2:F$52)</f>
        <v>1.1627450980392151</v>
      </c>
      <c r="G40">
        <f>unemp!G40-AVERAGE(unemp!G$2:G$52)</f>
        <v>0.79607843137254974</v>
      </c>
      <c r="H40">
        <f>unemp!H40-AVERAGE(unemp!H$2:H$52)</f>
        <v>1.3843137254901974</v>
      </c>
      <c r="I40">
        <f>unemp!I40-AVERAGE(unemp!I$2:I$52)</f>
        <v>0.79803921568627345</v>
      </c>
      <c r="J40">
        <f>unemp!J40-AVERAGE(unemp!J$2:J$52)</f>
        <v>0.85686274509803884</v>
      </c>
      <c r="K40">
        <f>unemp!K40-AVERAGE(unemp!K$2:K$52)</f>
        <v>-0.53137254901960951</v>
      </c>
      <c r="L40">
        <f>unemp!L40-AVERAGE(unemp!L$2:L$52)</f>
        <v>-0.68431372549019542</v>
      </c>
      <c r="M40">
        <f>unemp!M40-AVERAGE(unemp!M$2:M$52)</f>
        <v>-1.0058823529411747</v>
      </c>
    </row>
    <row r="41" spans="1:13" x14ac:dyDescent="0.3">
      <c r="A41">
        <v>2014</v>
      </c>
      <c r="B41">
        <f>unemp!B41-AVERAGE(unemp!B$2:B$52)</f>
        <v>-0.90588235294117769</v>
      </c>
      <c r="C41">
        <f>unemp!C41-AVERAGE(unemp!C$2:C$52)</f>
        <v>-0.68823529411764994</v>
      </c>
      <c r="D41">
        <f>unemp!D41-AVERAGE(unemp!D$2:D$52)</f>
        <v>-0.65294117647058858</v>
      </c>
      <c r="E41">
        <f>unemp!E41-AVERAGE(unemp!E$2:E$52)</f>
        <v>-0.82941176470588029</v>
      </c>
      <c r="F41">
        <f>unemp!F41-AVERAGE(unemp!F$2:F$52)</f>
        <v>-0.63725490196078383</v>
      </c>
      <c r="G41">
        <f>unemp!G41-AVERAGE(unemp!G$2:G$52)</f>
        <v>9.6078431372549566E-2</v>
      </c>
      <c r="H41">
        <f>unemp!H41-AVERAGE(unemp!H$2:H$52)</f>
        <v>-0.81568627450980369</v>
      </c>
      <c r="I41">
        <f>unemp!I41-AVERAGE(unemp!I$2:I$52)</f>
        <v>9.8039215686273273E-2</v>
      </c>
      <c r="J41">
        <f>unemp!J41-AVERAGE(unemp!J$2:J$52)</f>
        <v>-0.54313725490196152</v>
      </c>
      <c r="K41">
        <f>unemp!K41-AVERAGE(unemp!K$2:K$52)</f>
        <v>-1.0313725490196095</v>
      </c>
      <c r="L41">
        <f>unemp!L41-AVERAGE(unemp!L$2:L$52)</f>
        <v>-1.784313725490196</v>
      </c>
      <c r="M41">
        <f>unemp!M41-AVERAGE(unemp!M$2:M$52)</f>
        <v>-2.405882352941175</v>
      </c>
    </row>
    <row r="42" spans="1:13" x14ac:dyDescent="0.3">
      <c r="A42">
        <v>2015</v>
      </c>
      <c r="B42">
        <f>unemp!B42-AVERAGE(unemp!B$2:B$52)</f>
        <v>-0.90588235294117769</v>
      </c>
      <c r="C42">
        <f>unemp!C42-AVERAGE(unemp!C$2:C$52)</f>
        <v>-1.9882352941176498</v>
      </c>
      <c r="D42">
        <f>unemp!D42-AVERAGE(unemp!D$2:D$52)</f>
        <v>-0.65294117647058858</v>
      </c>
      <c r="E42">
        <f>unemp!E42-AVERAGE(unemp!E$2:E$52)</f>
        <v>-1.3294117647058803</v>
      </c>
      <c r="F42">
        <f>unemp!F42-AVERAGE(unemp!F$2:F$52)</f>
        <v>-1.6372549019607838</v>
      </c>
      <c r="G42">
        <f>unemp!G42-AVERAGE(unemp!G$2:G$52)</f>
        <v>-1.5039215686274501</v>
      </c>
      <c r="H42">
        <f>unemp!H42-AVERAGE(unemp!H$2:H$52)</f>
        <v>-0.71568627450980316</v>
      </c>
      <c r="I42">
        <f>unemp!I42-AVERAGE(unemp!I$2:I$52)</f>
        <v>-0.60196078431372646</v>
      </c>
      <c r="J42">
        <f>unemp!J42-AVERAGE(unemp!J$2:J$52)</f>
        <v>-1.2431372549019617</v>
      </c>
      <c r="K42">
        <f>unemp!K42-AVERAGE(unemp!K$2:K$52)</f>
        <v>-2.2313725490196097</v>
      </c>
      <c r="L42">
        <f>unemp!L42-AVERAGE(unemp!L$2:L$52)</f>
        <v>-1.3843137254901956</v>
      </c>
      <c r="M42">
        <f>unemp!M42-AVERAGE(unemp!M$2:M$52)</f>
        <v>-2.3058823529411754</v>
      </c>
    </row>
    <row r="43" spans="1:13" x14ac:dyDescent="0.3">
      <c r="A43">
        <v>2016</v>
      </c>
      <c r="B43">
        <f>unemp!B43-AVERAGE(unemp!B$2:B$52)</f>
        <v>-1.9058823529411777</v>
      </c>
      <c r="C43">
        <f>unemp!C43-AVERAGE(unemp!C$2:C$52)</f>
        <v>-2.1882352941176499</v>
      </c>
      <c r="D43">
        <f>unemp!D43-AVERAGE(unemp!D$2:D$52)</f>
        <v>-1.552941176470588</v>
      </c>
      <c r="E43">
        <f>unemp!E43-AVERAGE(unemp!E$2:E$52)</f>
        <v>-1.5294117647058805</v>
      </c>
      <c r="F43">
        <f>unemp!F43-AVERAGE(unemp!F$2:F$52)</f>
        <v>-1.5372549019607842</v>
      </c>
      <c r="G43">
        <f>unemp!G43-AVERAGE(unemp!G$2:G$52)</f>
        <v>-0.60392156862744972</v>
      </c>
      <c r="H43">
        <f>unemp!H43-AVERAGE(unemp!H$2:H$52)</f>
        <v>-1.3156862745098037</v>
      </c>
      <c r="I43">
        <f>unemp!I43-AVERAGE(unemp!I$2:I$52)</f>
        <v>-0.90196078431372628</v>
      </c>
      <c r="J43">
        <f>unemp!J43-AVERAGE(unemp!J$2:J$52)</f>
        <v>-1.5431372549019615</v>
      </c>
      <c r="K43">
        <f>unemp!K43-AVERAGE(unemp!K$2:K$52)</f>
        <v>-3.0313725490196095</v>
      </c>
      <c r="L43">
        <f>unemp!L43-AVERAGE(unemp!L$2:L$52)</f>
        <v>-2.784313725490196</v>
      </c>
      <c r="M43">
        <f>unemp!M43-AVERAGE(unemp!M$2:M$52)</f>
        <v>-2.6058823529411752</v>
      </c>
    </row>
    <row r="44" spans="1:13" x14ac:dyDescent="0.3">
      <c r="A44">
        <v>2017</v>
      </c>
      <c r="B44">
        <f>unemp!B44-AVERAGE(unemp!B$2:B$52)</f>
        <v>-3.5058823529411773</v>
      </c>
      <c r="C44">
        <f>unemp!C44-AVERAGE(unemp!C$2:C$52)</f>
        <v>-2.7882352941176496</v>
      </c>
      <c r="D44">
        <f>unemp!D44-AVERAGE(unemp!D$2:D$52)</f>
        <v>-1.7529411764705882</v>
      </c>
      <c r="E44">
        <f>unemp!E44-AVERAGE(unemp!E$2:E$52)</f>
        <v>-1.629411764705881</v>
      </c>
      <c r="F44">
        <f>unemp!F44-AVERAGE(unemp!F$2:F$52)</f>
        <v>-2.337254901960784</v>
      </c>
      <c r="G44">
        <f>unemp!G44-AVERAGE(unemp!G$2:G$52)</f>
        <v>-0.8039215686274499</v>
      </c>
      <c r="H44">
        <f>unemp!H44-AVERAGE(unemp!H$2:H$52)</f>
        <v>-1.9156862745098033</v>
      </c>
      <c r="I44">
        <f>unemp!I44-AVERAGE(unemp!I$2:I$52)</f>
        <v>-1.0019607843137264</v>
      </c>
      <c r="J44">
        <f>unemp!J44-AVERAGE(unemp!J$2:J$52)</f>
        <v>-1.4431372549019614</v>
      </c>
      <c r="K44">
        <f>unemp!K44-AVERAGE(unemp!K$2:K$52)</f>
        <v>-2.5313725490196095</v>
      </c>
      <c r="L44">
        <f>unemp!L44-AVERAGE(unemp!L$2:L$52)</f>
        <v>-3.0843137254901958</v>
      </c>
      <c r="M44">
        <f>unemp!M44-AVERAGE(unemp!M$2:M$52)</f>
        <v>-5.1058823529411752</v>
      </c>
    </row>
    <row r="45" spans="1:13" x14ac:dyDescent="0.3">
      <c r="A45">
        <v>2018</v>
      </c>
      <c r="B45">
        <f>unemp!B45-AVERAGE(unemp!B$2:B$52)</f>
        <v>-3.6058823529411779</v>
      </c>
      <c r="C45">
        <f>unemp!C45-AVERAGE(unemp!C$2:C$52)</f>
        <v>-3.3882352941176497</v>
      </c>
      <c r="D45">
        <f>unemp!D45-AVERAGE(unemp!D$2:D$52)</f>
        <v>-1.552941176470588</v>
      </c>
      <c r="E45">
        <f>unemp!E45-AVERAGE(unemp!E$2:E$52)</f>
        <v>-1.0294117647058805</v>
      </c>
      <c r="F45">
        <f>unemp!F45-AVERAGE(unemp!F$2:F$52)</f>
        <v>-1.9372549019607845</v>
      </c>
      <c r="G45">
        <f>unemp!G45-AVERAGE(unemp!G$2:G$52)</f>
        <v>-1.8039215686274499</v>
      </c>
      <c r="H45">
        <f>unemp!H45-AVERAGE(unemp!H$2:H$52)</f>
        <v>-2.7156862745098032</v>
      </c>
      <c r="I45">
        <f>unemp!I45-AVERAGE(unemp!I$2:I$52)</f>
        <v>-1.4019607843137263</v>
      </c>
      <c r="J45">
        <f>unemp!J45-AVERAGE(unemp!J$2:J$52)</f>
        <v>-2.1431372549019616</v>
      </c>
      <c r="K45">
        <f>unemp!K45-AVERAGE(unemp!K$2:K$52)</f>
        <v>-3.0313725490196095</v>
      </c>
      <c r="L45">
        <f>unemp!L45-AVERAGE(unemp!L$2:L$52)</f>
        <v>-3.9843137254901957</v>
      </c>
      <c r="M45">
        <f>unemp!M45-AVERAGE(unemp!M$2:M$52)</f>
        <v>-4.905882352941175</v>
      </c>
    </row>
    <row r="46" spans="1:13" x14ac:dyDescent="0.3">
      <c r="A46">
        <v>2019</v>
      </c>
      <c r="B46">
        <f>unemp!B46-AVERAGE(unemp!B$2:B$52)</f>
        <v>-2.5058823529411773</v>
      </c>
      <c r="C46">
        <f>unemp!C46-AVERAGE(unemp!C$2:C$52)</f>
        <v>-2.6882352941176499</v>
      </c>
      <c r="D46">
        <f>unemp!D46-AVERAGE(unemp!D$2:D$52)</f>
        <v>-2.2529411764705882</v>
      </c>
      <c r="E46">
        <f>unemp!E46-AVERAGE(unemp!E$2:E$52)</f>
        <v>-1.8294117647058807</v>
      </c>
      <c r="F46">
        <f>unemp!F46-AVERAGE(unemp!F$2:F$52)</f>
        <v>-2.6372549019607838</v>
      </c>
      <c r="G46">
        <f>unemp!G46-AVERAGE(unemp!G$2:G$52)</f>
        <v>-1.5039215686274501</v>
      </c>
      <c r="H46">
        <f>unemp!H46-AVERAGE(unemp!H$2:H$52)</f>
        <v>-2.4156862745098033</v>
      </c>
      <c r="I46">
        <f>unemp!I46-AVERAGE(unemp!I$2:I$52)</f>
        <v>-1.3019607843137262</v>
      </c>
      <c r="J46">
        <f>unemp!J46-AVERAGE(unemp!J$2:J$52)</f>
        <v>-2.1431372549019616</v>
      </c>
      <c r="K46">
        <f>unemp!K46-AVERAGE(unemp!K$2:K$52)</f>
        <v>-4.0313725490196095</v>
      </c>
      <c r="L46">
        <f>unemp!L46-AVERAGE(unemp!L$2:L$52)</f>
        <v>-3.7843137254901955</v>
      </c>
      <c r="M46">
        <f>unemp!M46-AVERAGE(unemp!M$2:M$52)</f>
        <v>-6.0058823529411747</v>
      </c>
    </row>
    <row r="47" spans="1:13" x14ac:dyDescent="0.3">
      <c r="A47">
        <v>2020</v>
      </c>
      <c r="B47">
        <f>unemp!B47-AVERAGE(unemp!B$2:B$52)</f>
        <v>-2.5058823529411773</v>
      </c>
      <c r="C47">
        <f>unemp!C47-AVERAGE(unemp!C$2:C$52)</f>
        <v>-1.5882352941176494</v>
      </c>
      <c r="D47">
        <f>unemp!D47-AVERAGE(unemp!D$2:D$52)</f>
        <v>-1.4529411764705884</v>
      </c>
      <c r="E47">
        <f>unemp!E47-AVERAGE(unemp!E$2:E$52)</f>
        <v>-0.32941176470588029</v>
      </c>
      <c r="F47">
        <f>unemp!F47-AVERAGE(unemp!F$2:F$52)</f>
        <v>-1.0372549019607842</v>
      </c>
      <c r="G47">
        <f>unemp!G47-AVERAGE(unemp!G$2:G$52)</f>
        <v>-0.8039215686274499</v>
      </c>
      <c r="H47">
        <f>unemp!H47-AVERAGE(unemp!H$2:H$52)</f>
        <v>0.68431372549019631</v>
      </c>
      <c r="I47">
        <f>unemp!I47-AVERAGE(unemp!I$2:I$52)</f>
        <v>-1.2019607843137265</v>
      </c>
      <c r="J47">
        <f>unemp!J47-AVERAGE(unemp!J$2:J$52)</f>
        <v>-0.64313725490196116</v>
      </c>
      <c r="K47">
        <f>unemp!K47-AVERAGE(unemp!K$2:K$52)</f>
        <v>-2.6313725490196092</v>
      </c>
      <c r="L47">
        <f>unemp!L47-AVERAGE(unemp!L$2:L$52)</f>
        <v>-2.9843137254901952</v>
      </c>
      <c r="M47">
        <f>unemp!M47-AVERAGE(unemp!M$2:M$52)</f>
        <v>-4.2058823529411749</v>
      </c>
    </row>
    <row r="48" spans="1:13" x14ac:dyDescent="0.3">
      <c r="A48">
        <v>2021</v>
      </c>
      <c r="B48">
        <f>unemp!B48-AVERAGE(unemp!B$2:B$52)</f>
        <v>-2.9058823529411777</v>
      </c>
      <c r="C48">
        <f>unemp!C48-AVERAGE(unemp!C$2:C$52)</f>
        <v>-2.3882352941176501</v>
      </c>
      <c r="D48">
        <f>unemp!D48-AVERAGE(unemp!D$2:D$52)</f>
        <v>-2.552941176470588</v>
      </c>
      <c r="E48">
        <f>unemp!E48-AVERAGE(unemp!E$2:E$52)</f>
        <v>-2.6294117647058806</v>
      </c>
      <c r="F48">
        <f>unemp!F48-AVERAGE(unemp!F$2:F$52)</f>
        <v>-2.0372549019607842</v>
      </c>
      <c r="G48">
        <f>unemp!G48-AVERAGE(unemp!G$2:G$52)</f>
        <v>-1.8039215686274499</v>
      </c>
      <c r="H48">
        <f>unemp!H48-AVERAGE(unemp!H$2:H$52)</f>
        <v>-1.515686274509803</v>
      </c>
      <c r="I48">
        <f>unemp!I48-AVERAGE(unemp!I$2:I$52)</f>
        <v>-0.70196078431372655</v>
      </c>
      <c r="J48">
        <f>unemp!J48-AVERAGE(unemp!J$2:J$52)</f>
        <v>-2.1431372549019616</v>
      </c>
      <c r="K48">
        <f>unemp!K48-AVERAGE(unemp!K$2:K$52)</f>
        <v>-4.2313725490196088</v>
      </c>
      <c r="L48">
        <f>unemp!L48-AVERAGE(unemp!L$2:L$52)</f>
        <v>-3.4843137254901957</v>
      </c>
      <c r="M48">
        <f>unemp!M48-AVERAGE(unemp!M$2:M$52)</f>
        <v>-5.2058823529411749</v>
      </c>
    </row>
    <row r="49" spans="1:13" x14ac:dyDescent="0.3">
      <c r="A49">
        <v>2022</v>
      </c>
      <c r="B49">
        <f>unemp!B49-AVERAGE(unemp!B$2:B$52)</f>
        <v>-4.0058823529411773</v>
      </c>
      <c r="C49">
        <f>unemp!C49-AVERAGE(unemp!C$2:C$52)</f>
        <v>-3.2882352941176496</v>
      </c>
      <c r="D49">
        <f>unemp!D49-AVERAGE(unemp!D$2:D$52)</f>
        <v>-3.552941176470588</v>
      </c>
      <c r="E49">
        <f>unemp!E49-AVERAGE(unemp!E$2:E$52)</f>
        <v>-2.0294117647058805</v>
      </c>
      <c r="F49">
        <f>unemp!F49-AVERAGE(unemp!F$2:F$52)</f>
        <v>-2.2372549019607844</v>
      </c>
      <c r="G49">
        <f>unemp!G49-AVERAGE(unemp!G$2:G$52)</f>
        <v>-1.0039215686274501</v>
      </c>
      <c r="H49">
        <f>unemp!H49-AVERAGE(unemp!H$2:H$52)</f>
        <v>-2.015686274509803</v>
      </c>
      <c r="I49">
        <f>unemp!I49-AVERAGE(unemp!I$2:I$52)</f>
        <v>-0.60196078431372646</v>
      </c>
      <c r="J49">
        <f>unemp!J49-AVERAGE(unemp!J$2:J$52)</f>
        <v>-2.4431372549019614</v>
      </c>
      <c r="K49">
        <f>unemp!K49-AVERAGE(unemp!K$2:K$52)</f>
        <v>-3.8313725490196093</v>
      </c>
      <c r="L49">
        <f>unemp!L49-AVERAGE(unemp!L$2:L$52)</f>
        <v>-3.9843137254901957</v>
      </c>
      <c r="M49">
        <f>unemp!M49-AVERAGE(unemp!M$2:M$52)</f>
        <v>-6.2058823529411749</v>
      </c>
    </row>
    <row r="50" spans="1:13" x14ac:dyDescent="0.3">
      <c r="A50">
        <v>2023</v>
      </c>
      <c r="B50">
        <f>unemp!B50-AVERAGE(unemp!B$2:B$52)</f>
        <v>-4.7058823529411775</v>
      </c>
      <c r="C50">
        <f>unemp!C50-AVERAGE(unemp!C$2:C$52)</f>
        <v>-2.1882352941176499</v>
      </c>
      <c r="D50">
        <f>unemp!D50-AVERAGE(unemp!D$2:D$52)</f>
        <v>-3.052941176470588</v>
      </c>
      <c r="E50">
        <f>unemp!E50-AVERAGE(unemp!E$2:E$52)</f>
        <v>-0.52941176470588047</v>
      </c>
      <c r="F50">
        <f>unemp!F50-AVERAGE(unemp!F$2:F$52)</f>
        <v>-2.7372549019607844</v>
      </c>
      <c r="G50">
        <f>unemp!G50-AVERAGE(unemp!G$2:G$52)</f>
        <v>-1.1039215686274502</v>
      </c>
      <c r="H50">
        <f>unemp!H50-AVERAGE(unemp!H$2:H$52)</f>
        <v>-3.1156862745098035</v>
      </c>
      <c r="I50">
        <f>unemp!I50-AVERAGE(unemp!I$2:I$52)</f>
        <v>-0.50196078431372637</v>
      </c>
      <c r="J50">
        <f>unemp!J50-AVERAGE(unemp!J$2:J$52)</f>
        <v>-1.6431372549019616</v>
      </c>
      <c r="K50">
        <f>unemp!K50-AVERAGE(unemp!K$2:K$52)</f>
        <v>-3.2313725490196097</v>
      </c>
      <c r="L50">
        <f>unemp!L50-AVERAGE(unemp!L$2:L$52)</f>
        <v>-3.0843137254901958</v>
      </c>
      <c r="M50">
        <f>unemp!M50-AVERAGE(unemp!M$2:M$52)</f>
        <v>-6.2058823529411749</v>
      </c>
    </row>
    <row r="51" spans="1:13" x14ac:dyDescent="0.3">
      <c r="A51">
        <v>2024</v>
      </c>
      <c r="B51">
        <f>unemp!B51-AVERAGE(unemp!B$2:B$52)</f>
        <v>-4.0058823529411773</v>
      </c>
      <c r="C51">
        <f>unemp!C51-AVERAGE(unemp!C$2:C$52)</f>
        <v>-3.0882352941176499</v>
      </c>
      <c r="D51">
        <f>unemp!D51-AVERAGE(unemp!D$2:D$52)</f>
        <v>-2.7529411764705882</v>
      </c>
      <c r="E51">
        <f>unemp!E51-AVERAGE(unemp!E$2:E$52)</f>
        <v>-1.5294117647058805</v>
      </c>
      <c r="F51">
        <f>unemp!F51-AVERAGE(unemp!F$2:F$52)</f>
        <v>-2.5372549019607842</v>
      </c>
      <c r="G51">
        <f>unemp!G51-AVERAGE(unemp!G$2:G$52)</f>
        <v>-0.70392156862745026</v>
      </c>
      <c r="H51">
        <f>unemp!H51-AVERAGE(unemp!H$2:H$52)</f>
        <v>-0.61568627450980351</v>
      </c>
      <c r="I51">
        <f>unemp!I51-AVERAGE(unemp!I$2:I$52)</f>
        <v>-0.50196078431372637</v>
      </c>
      <c r="J51">
        <f>unemp!J51-AVERAGE(unemp!J$2:J$52)</f>
        <v>-1.5431372549019615</v>
      </c>
      <c r="K51">
        <f>unemp!K51-AVERAGE(unemp!K$2:K$52)</f>
        <v>-1.931372549019609</v>
      </c>
      <c r="L51">
        <f>unemp!L51-AVERAGE(unemp!L$2:L$52)</f>
        <v>-3.6843137254901954</v>
      </c>
      <c r="M51">
        <f>unemp!M51-AVERAGE(unemp!M$2:M$52)</f>
        <v>-6.905882352941175</v>
      </c>
    </row>
    <row r="52" spans="1:13" x14ac:dyDescent="0.3">
      <c r="A52">
        <v>2025</v>
      </c>
      <c r="B52">
        <f>unemp!B52-AVERAGE(unemp!B$2:B$52)</f>
        <v>-1.6058823529411779</v>
      </c>
      <c r="C52">
        <f>unemp!C52-AVERAGE(unemp!C$2:C$52)</f>
        <v>-2.2882352941176496</v>
      </c>
      <c r="D52">
        <f>unemp!D52-AVERAGE(unemp!D$2:D$52)</f>
        <v>-0.75294117647058822</v>
      </c>
      <c r="E52">
        <f>unemp!E52-AVERAGE(unemp!E$2:E$52)</f>
        <v>-0.129411764705881</v>
      </c>
      <c r="F52">
        <f>unemp!F52-AVERAGE(unemp!F$2:F$52)</f>
        <v>-0.93725490196078454</v>
      </c>
      <c r="G52">
        <f>unemp!G52-AVERAGE(unemp!G$2:G$52)</f>
        <v>-0.70392156862745026</v>
      </c>
      <c r="H52">
        <f>unemp!H52-AVERAGE(unemp!H$2:H$52)</f>
        <v>0.98431372549019702</v>
      </c>
      <c r="I52">
        <f>unemp!I52-AVERAGE(unemp!I$2:I$52)</f>
        <v>-0.50196078431372637</v>
      </c>
      <c r="J52">
        <f>unemp!J52-AVERAGE(unemp!J$2:J$52)</f>
        <v>-1.1431372549019616</v>
      </c>
      <c r="K52">
        <f>unemp!K52-AVERAGE(unemp!K$2:K$52)</f>
        <v>-3.8313725490196093</v>
      </c>
      <c r="L52">
        <f>unemp!L52-AVERAGE(unemp!L$2:L$52)</f>
        <v>-3.4843137254901957</v>
      </c>
      <c r="M52">
        <f>unemp!M52-AVERAGE(unemp!M$2:M$52)</f>
        <v>-6.2058823529411749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6389E-37FC-4047-B6CA-2AB4C3682349}">
  <dimension ref="A1:B13"/>
  <sheetViews>
    <sheetView workbookViewId="0">
      <selection activeCell="B2" sqref="B2"/>
    </sheetView>
  </sheetViews>
  <sheetFormatPr defaultRowHeight="14.4" x14ac:dyDescent="0.3"/>
  <sheetData>
    <row r="1" spans="1:2" x14ac:dyDescent="0.3">
      <c r="A1" t="s">
        <v>14</v>
      </c>
      <c r="B1" t="s">
        <v>15</v>
      </c>
    </row>
    <row r="2" spans="1:2" x14ac:dyDescent="0.3">
      <c r="A2" t="s">
        <v>2</v>
      </c>
      <c r="B2">
        <v>8.7058823529411775</v>
      </c>
    </row>
    <row r="3" spans="1:2" x14ac:dyDescent="0.3">
      <c r="A3" t="s">
        <v>3</v>
      </c>
      <c r="B3">
        <v>6.9882352941176498</v>
      </c>
    </row>
    <row r="4" spans="1:2" x14ac:dyDescent="0.3">
      <c r="A4" t="s">
        <v>4</v>
      </c>
      <c r="B4">
        <v>6.7529411764705882</v>
      </c>
    </row>
    <row r="5" spans="1:2" x14ac:dyDescent="0.3">
      <c r="A5" t="s">
        <v>5</v>
      </c>
      <c r="B5">
        <v>5.7294117647058806</v>
      </c>
    </row>
    <row r="6" spans="1:2" x14ac:dyDescent="0.3">
      <c r="A6" t="s">
        <v>6</v>
      </c>
      <c r="B6">
        <v>7.0372549019607842</v>
      </c>
    </row>
    <row r="7" spans="1:2" x14ac:dyDescent="0.3">
      <c r="A7" t="s">
        <v>0</v>
      </c>
      <c r="B7">
        <v>5.0039215686274501</v>
      </c>
    </row>
    <row r="8" spans="1:2" x14ac:dyDescent="0.3">
      <c r="A8" t="s">
        <v>1</v>
      </c>
      <c r="B8">
        <v>6.9156862745098033</v>
      </c>
    </row>
    <row r="9" spans="1:2" x14ac:dyDescent="0.3">
      <c r="A9" t="s">
        <v>7</v>
      </c>
      <c r="B9">
        <v>4.5019607843137264</v>
      </c>
    </row>
    <row r="10" spans="1:2" x14ac:dyDescent="0.3">
      <c r="A10" t="s">
        <v>8</v>
      </c>
      <c r="B10">
        <v>5.0431372549019615</v>
      </c>
    </row>
    <row r="11" spans="1:2" x14ac:dyDescent="0.3">
      <c r="A11" t="s">
        <v>11</v>
      </c>
      <c r="B11">
        <v>7.3313725490196093</v>
      </c>
    </row>
    <row r="12" spans="1:2" x14ac:dyDescent="0.3">
      <c r="A12" t="s">
        <v>12</v>
      </c>
      <c r="B12">
        <v>7.3843137254901956</v>
      </c>
    </row>
    <row r="13" spans="1:2" x14ac:dyDescent="0.3">
      <c r="A13" t="s">
        <v>13</v>
      </c>
      <c r="B13">
        <v>8.405882352941175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CD89B-E245-4F3C-B913-3BF9311D4FD5}">
  <dimension ref="A1:M34"/>
  <sheetViews>
    <sheetView topLeftCell="A13" workbookViewId="0">
      <selection activeCell="I16" sqref="I16"/>
    </sheetView>
  </sheetViews>
  <sheetFormatPr defaultRowHeight="14.4" x14ac:dyDescent="0.3"/>
  <sheetData>
    <row r="1" spans="1:13" x14ac:dyDescent="0.3">
      <c r="A1" t="s">
        <v>9</v>
      </c>
      <c r="B1" t="s">
        <v>0</v>
      </c>
      <c r="C1" t="s">
        <v>5</v>
      </c>
      <c r="D1" t="s">
        <v>1</v>
      </c>
      <c r="E1" t="s">
        <v>2</v>
      </c>
      <c r="F1" t="s">
        <v>3</v>
      </c>
      <c r="G1" t="s">
        <v>13</v>
      </c>
      <c r="H1" t="s">
        <v>12</v>
      </c>
      <c r="I1" t="s">
        <v>7</v>
      </c>
      <c r="J1" t="s">
        <v>8</v>
      </c>
      <c r="K1" t="s">
        <v>11</v>
      </c>
      <c r="L1" t="s">
        <v>6</v>
      </c>
      <c r="M1" t="s">
        <v>4</v>
      </c>
    </row>
    <row r="2" spans="1:13" x14ac:dyDescent="0.3">
      <c r="A2">
        <v>1991</v>
      </c>
      <c r="B2">
        <v>7.2126444230000004</v>
      </c>
      <c r="C2">
        <v>7.1268640620000001</v>
      </c>
      <c r="D2">
        <v>7.433253348</v>
      </c>
      <c r="E2">
        <v>7.1935467979999999</v>
      </c>
      <c r="F2">
        <v>7.2223532710000002</v>
      </c>
      <c r="G2" t="e">
        <v>#N/A</v>
      </c>
      <c r="H2">
        <v>7.2370764980000004</v>
      </c>
      <c r="I2">
        <v>7.268375936</v>
      </c>
      <c r="J2">
        <v>7.0729858610000003</v>
      </c>
      <c r="K2">
        <v>7.1492363059999997</v>
      </c>
      <c r="L2">
        <v>7.1762498680000002</v>
      </c>
      <c r="M2">
        <v>7.0662393840000002</v>
      </c>
    </row>
    <row r="3" spans="1:13" x14ac:dyDescent="0.3">
      <c r="A3">
        <v>1992</v>
      </c>
      <c r="B3">
        <v>7.2363683160000001</v>
      </c>
      <c r="C3">
        <v>7.1139239400000003</v>
      </c>
      <c r="D3">
        <v>7.403464585</v>
      </c>
      <c r="E3">
        <v>7.2444904159999997</v>
      </c>
      <c r="F3">
        <v>7.1984101960000002</v>
      </c>
      <c r="G3" t="e">
        <v>#N/A</v>
      </c>
      <c r="H3">
        <v>7.1706782349999996</v>
      </c>
      <c r="I3">
        <v>7.241176447</v>
      </c>
      <c r="J3">
        <v>7.1109589729999998</v>
      </c>
      <c r="K3">
        <v>7.2293767789999999</v>
      </c>
      <c r="L3">
        <v>7.2052696550000004</v>
      </c>
      <c r="M3">
        <v>7.1111239419999999</v>
      </c>
    </row>
    <row r="4" spans="1:13" x14ac:dyDescent="0.3">
      <c r="A4">
        <v>1993</v>
      </c>
      <c r="B4">
        <v>7.2230652270000002</v>
      </c>
      <c r="C4">
        <v>7.0567075490000004</v>
      </c>
      <c r="D4">
        <v>7.4099135839999999</v>
      </c>
      <c r="E4">
        <v>7.2742656280000002</v>
      </c>
      <c r="F4">
        <v>7.178404456</v>
      </c>
      <c r="G4" t="e">
        <v>#N/A</v>
      </c>
      <c r="H4">
        <v>7.1968585039999997</v>
      </c>
      <c r="I4">
        <v>7.2180710450000003</v>
      </c>
      <c r="J4">
        <v>7.1082949160000002</v>
      </c>
      <c r="K4">
        <v>7.2192264740000001</v>
      </c>
      <c r="L4">
        <v>7.1393278850000002</v>
      </c>
      <c r="M4">
        <v>7.1274093919999997</v>
      </c>
    </row>
    <row r="5" spans="1:13" x14ac:dyDescent="0.3">
      <c r="A5">
        <v>1994</v>
      </c>
      <c r="B5">
        <v>7.1998895269999998</v>
      </c>
      <c r="C5">
        <v>7.1193174270000004</v>
      </c>
      <c r="D5">
        <v>7.4204225319999999</v>
      </c>
      <c r="E5">
        <v>7.1738755889999997</v>
      </c>
      <c r="F5">
        <v>7.2123626859999996</v>
      </c>
      <c r="G5" t="e">
        <v>#N/A</v>
      </c>
      <c r="H5">
        <v>7.2549936859999997</v>
      </c>
      <c r="I5">
        <v>7.1972789669999999</v>
      </c>
      <c r="J5">
        <v>7.0586073989999996</v>
      </c>
      <c r="K5">
        <v>7.2366994589999996</v>
      </c>
      <c r="L5">
        <v>7.1832337190000004</v>
      </c>
      <c r="M5">
        <v>7.117236235</v>
      </c>
    </row>
    <row r="6" spans="1:13" x14ac:dyDescent="0.3">
      <c r="A6">
        <v>1995</v>
      </c>
      <c r="B6">
        <v>7.197997999</v>
      </c>
      <c r="C6">
        <v>7.1314406640000003</v>
      </c>
      <c r="D6">
        <v>7.4798414620000004</v>
      </c>
      <c r="E6">
        <v>7.2526563680000002</v>
      </c>
      <c r="F6">
        <v>7.2705799210000004</v>
      </c>
      <c r="G6" t="e">
        <v>#N/A</v>
      </c>
      <c r="H6">
        <v>7.2587735520000001</v>
      </c>
      <c r="I6">
        <v>7.2451817119999999</v>
      </c>
      <c r="J6">
        <v>7.0933935479999999</v>
      </c>
      <c r="K6">
        <v>7.2522413669999999</v>
      </c>
      <c r="L6">
        <v>7.1706614259999997</v>
      </c>
      <c r="M6">
        <v>7.1314406640000003</v>
      </c>
    </row>
    <row r="7" spans="1:13" x14ac:dyDescent="0.3">
      <c r="A7">
        <v>1996</v>
      </c>
      <c r="B7">
        <v>7.1986321310000001</v>
      </c>
      <c r="C7">
        <v>7.157432268</v>
      </c>
      <c r="D7">
        <v>7.490997803</v>
      </c>
      <c r="E7">
        <v>7.0871925469999999</v>
      </c>
      <c r="F7">
        <v>7.2579937970000001</v>
      </c>
      <c r="G7" t="e">
        <v>#N/A</v>
      </c>
      <c r="H7">
        <v>7.2401204000000003</v>
      </c>
      <c r="I7">
        <v>7.2837506090000002</v>
      </c>
      <c r="J7">
        <v>7.0912493230000004</v>
      </c>
      <c r="K7">
        <v>7.2378528009999998</v>
      </c>
      <c r="L7">
        <v>7.1865595500000001</v>
      </c>
      <c r="M7">
        <v>7.1523025220000003</v>
      </c>
    </row>
    <row r="8" spans="1:13" x14ac:dyDescent="0.3">
      <c r="A8">
        <v>1997</v>
      </c>
      <c r="B8">
        <v>7.2646403490000004</v>
      </c>
      <c r="C8">
        <v>7.1717704299999996</v>
      </c>
      <c r="D8">
        <v>7.4469619260000002</v>
      </c>
      <c r="E8">
        <v>7.2539672829999997</v>
      </c>
      <c r="F8">
        <v>7.2428174209999998</v>
      </c>
      <c r="G8" t="e">
        <v>#N/A</v>
      </c>
      <c r="H8">
        <v>7.1790642079999998</v>
      </c>
      <c r="I8">
        <v>7.2646403490000004</v>
      </c>
      <c r="J8">
        <v>7.1362384639999998</v>
      </c>
      <c r="K8">
        <v>7.1750395950000003</v>
      </c>
      <c r="L8">
        <v>7.1592798540000002</v>
      </c>
      <c r="M8">
        <v>7.15719628</v>
      </c>
    </row>
    <row r="9" spans="1:13" x14ac:dyDescent="0.3">
      <c r="A9">
        <v>1998</v>
      </c>
      <c r="B9">
        <v>7.2465984710000004</v>
      </c>
      <c r="C9">
        <v>7.1510854110000004</v>
      </c>
      <c r="D9">
        <v>7.472138824</v>
      </c>
      <c r="E9">
        <v>7.2458289310000001</v>
      </c>
      <c r="F9">
        <v>7.2458289310000001</v>
      </c>
      <c r="G9" t="e">
        <v>#N/A</v>
      </c>
      <c r="H9">
        <v>7.2475974650000001</v>
      </c>
      <c r="I9">
        <v>7.2866508860000003</v>
      </c>
      <c r="J9">
        <v>7.1609970169999997</v>
      </c>
      <c r="K9">
        <v>7.2047337310000001</v>
      </c>
      <c r="L9">
        <v>7.1847230529999999</v>
      </c>
      <c r="M9">
        <v>7.145816913</v>
      </c>
    </row>
    <row r="10" spans="1:13" x14ac:dyDescent="0.3">
      <c r="A10">
        <v>1999</v>
      </c>
      <c r="B10">
        <v>7.2884322829999997</v>
      </c>
      <c r="C10">
        <v>7.2223397609999997</v>
      </c>
      <c r="D10">
        <v>7.5160083640000002</v>
      </c>
      <c r="E10">
        <v>7.324530996</v>
      </c>
      <c r="F10">
        <v>7.2391711550000002</v>
      </c>
      <c r="G10" t="e">
        <v>#N/A</v>
      </c>
      <c r="H10">
        <v>7.2292208320000002</v>
      </c>
      <c r="I10">
        <v>7.3317513429999996</v>
      </c>
      <c r="J10">
        <v>7.2190228279999999</v>
      </c>
      <c r="K10">
        <v>7.2031334840000003</v>
      </c>
      <c r="L10">
        <v>7.2676720049999997</v>
      </c>
      <c r="M10">
        <v>7.2090181409999996</v>
      </c>
    </row>
    <row r="11" spans="1:13" x14ac:dyDescent="0.3">
      <c r="A11">
        <v>2000</v>
      </c>
      <c r="B11">
        <v>7.3709407689999997</v>
      </c>
      <c r="C11">
        <v>7.2470195310000003</v>
      </c>
      <c r="D11">
        <v>7.5649978180000002</v>
      </c>
      <c r="E11">
        <v>7.3572226900000004</v>
      </c>
      <c r="F11">
        <v>7.3121966819999997</v>
      </c>
      <c r="G11" t="e">
        <v>#N/A</v>
      </c>
      <c r="H11">
        <v>7.2857677360000004</v>
      </c>
      <c r="I11">
        <v>7.4082747869999999</v>
      </c>
      <c r="J11">
        <v>7.264344253</v>
      </c>
      <c r="K11">
        <v>7.2559118649999998</v>
      </c>
      <c r="L11">
        <v>7.2600612470000003</v>
      </c>
      <c r="M11">
        <v>7.2869868039999997</v>
      </c>
    </row>
    <row r="12" spans="1:13" x14ac:dyDescent="0.3">
      <c r="A12">
        <v>2001</v>
      </c>
      <c r="B12">
        <v>7.3949316239999998</v>
      </c>
      <c r="C12">
        <v>7.2975635780000001</v>
      </c>
      <c r="D12">
        <v>7.5787781340000002</v>
      </c>
      <c r="E12">
        <v>7.3675853199999999</v>
      </c>
      <c r="F12">
        <v>7.3556345199999997</v>
      </c>
      <c r="G12">
        <v>7.2649687409999997</v>
      </c>
      <c r="H12">
        <v>7.3255666420000001</v>
      </c>
      <c r="I12">
        <v>7.4451996139999999</v>
      </c>
      <c r="J12">
        <v>7.2815266200000002</v>
      </c>
      <c r="K12">
        <v>7.2660223579999998</v>
      </c>
      <c r="L12">
        <v>7.2407045879999998</v>
      </c>
      <c r="M12">
        <v>7.2815266200000002</v>
      </c>
    </row>
    <row r="13" spans="1:13" x14ac:dyDescent="0.3">
      <c r="A13">
        <v>2002</v>
      </c>
      <c r="B13">
        <v>7.4249414209999998</v>
      </c>
      <c r="C13">
        <v>7.3394710180000002</v>
      </c>
      <c r="D13">
        <v>7.6426535400000004</v>
      </c>
      <c r="E13">
        <v>7.4425809550000004</v>
      </c>
      <c r="F13">
        <v>7.3850714340000003</v>
      </c>
      <c r="G13">
        <v>7.2906884099999996</v>
      </c>
      <c r="H13">
        <v>7.3544779680000003</v>
      </c>
      <c r="I13">
        <v>7.5236360409999996</v>
      </c>
      <c r="J13">
        <v>7.3234011710000004</v>
      </c>
      <c r="K13">
        <v>7.2824739770000004</v>
      </c>
      <c r="L13">
        <v>7.340544918</v>
      </c>
      <c r="M13">
        <v>7.3694853910000004</v>
      </c>
    </row>
    <row r="14" spans="1:13" x14ac:dyDescent="0.3">
      <c r="A14">
        <v>2003</v>
      </c>
      <c r="B14">
        <v>7.4933988469999999</v>
      </c>
      <c r="C14">
        <v>7.396636226</v>
      </c>
      <c r="D14">
        <v>7.6091636490000001</v>
      </c>
      <c r="E14">
        <v>7.396636226</v>
      </c>
      <c r="F14">
        <v>7.3958666979999999</v>
      </c>
      <c r="G14">
        <v>7.2688028500000001</v>
      </c>
      <c r="H14">
        <v>7.3827728730000004</v>
      </c>
      <c r="I14">
        <v>7.5099649150000003</v>
      </c>
      <c r="J14">
        <v>7.3040764789999999</v>
      </c>
      <c r="K14">
        <v>7.2688028500000001</v>
      </c>
      <c r="L14">
        <v>7.327929073</v>
      </c>
      <c r="M14">
        <v>7.3297268950000003</v>
      </c>
    </row>
    <row r="15" spans="1:13" x14ac:dyDescent="0.3">
      <c r="A15">
        <v>2004</v>
      </c>
      <c r="B15">
        <v>7.446597047</v>
      </c>
      <c r="C15">
        <v>7.4504810299999997</v>
      </c>
      <c r="D15">
        <v>7.7189265799999998</v>
      </c>
      <c r="E15">
        <v>7.4705595020000004</v>
      </c>
      <c r="F15">
        <v>7.3953036900000004</v>
      </c>
      <c r="G15">
        <v>7.2994364059999999</v>
      </c>
      <c r="H15">
        <v>7.4163942819999997</v>
      </c>
      <c r="I15">
        <v>7.520649916</v>
      </c>
      <c r="J15">
        <v>7.3529457699999998</v>
      </c>
      <c r="K15">
        <v>7.320952256</v>
      </c>
      <c r="L15">
        <v>7.3420060620000003</v>
      </c>
      <c r="M15">
        <v>7.3306248749999998</v>
      </c>
    </row>
    <row r="16" spans="1:13" x14ac:dyDescent="0.3">
      <c r="A16">
        <v>2005</v>
      </c>
      <c r="B16">
        <v>7.488895683</v>
      </c>
      <c r="C16">
        <v>7.4105610300000002</v>
      </c>
      <c r="D16">
        <v>7.8067865059999999</v>
      </c>
      <c r="E16">
        <v>7.4283011559999998</v>
      </c>
      <c r="F16">
        <v>7.4259209149999998</v>
      </c>
      <c r="G16">
        <v>7.3316102379999997</v>
      </c>
      <c r="H16">
        <v>7.4415205889999996</v>
      </c>
      <c r="I16">
        <v>7.5256983020000003</v>
      </c>
      <c r="J16">
        <v>7.3617671270000002</v>
      </c>
      <c r="K16">
        <v>7.321329929</v>
      </c>
      <c r="L16">
        <v>7.3570974040000001</v>
      </c>
      <c r="M16">
        <v>7.3806448260000002</v>
      </c>
    </row>
    <row r="17" spans="1:13" x14ac:dyDescent="0.3">
      <c r="A17">
        <v>2006</v>
      </c>
      <c r="B17">
        <v>7.516105069</v>
      </c>
      <c r="C17">
        <v>7.4716533060000003</v>
      </c>
      <c r="D17">
        <v>7.7530042960000003</v>
      </c>
      <c r="E17">
        <v>7.4768843550000001</v>
      </c>
      <c r="F17">
        <v>7.4512206299999999</v>
      </c>
      <c r="G17">
        <v>7.3564458159999999</v>
      </c>
      <c r="H17">
        <v>7.4385652059999998</v>
      </c>
      <c r="I17">
        <v>7.5202135300000004</v>
      </c>
      <c r="J17">
        <v>7.3771126239999996</v>
      </c>
      <c r="K17">
        <v>7.3032208949999999</v>
      </c>
      <c r="L17">
        <v>7.3771126239999996</v>
      </c>
      <c r="M17">
        <v>7.4512206299999999</v>
      </c>
    </row>
    <row r="18" spans="1:13" x14ac:dyDescent="0.3">
      <c r="A18">
        <v>2007</v>
      </c>
      <c r="B18">
        <v>7.5033811420000003</v>
      </c>
      <c r="C18">
        <v>7.4962434670000002</v>
      </c>
      <c r="D18">
        <v>7.7843102999999996</v>
      </c>
      <c r="E18">
        <v>7.5433243599999997</v>
      </c>
      <c r="F18">
        <v>7.4586171239999999</v>
      </c>
      <c r="G18">
        <v>7.352757843</v>
      </c>
      <c r="H18">
        <v>7.4328005800000003</v>
      </c>
      <c r="I18">
        <v>7.5357736299999996</v>
      </c>
      <c r="J18">
        <v>7.4276353469999998</v>
      </c>
      <c r="K18">
        <v>7.325970935</v>
      </c>
      <c r="L18">
        <v>7.3534563559999997</v>
      </c>
      <c r="M18">
        <v>7.4374475359999996</v>
      </c>
    </row>
    <row r="19" spans="1:13" x14ac:dyDescent="0.3">
      <c r="A19">
        <v>2008</v>
      </c>
      <c r="B19">
        <v>7.4314782770000001</v>
      </c>
      <c r="C19">
        <v>7.4088729139999998</v>
      </c>
      <c r="D19">
        <v>7.7886537520000001</v>
      </c>
      <c r="E19">
        <v>7.4947287740000004</v>
      </c>
      <c r="F19">
        <v>7.4723002449999996</v>
      </c>
      <c r="G19">
        <v>7.3434674309999997</v>
      </c>
      <c r="H19">
        <v>7.4612504360000003</v>
      </c>
      <c r="I19">
        <v>7.4886493840000004</v>
      </c>
      <c r="J19">
        <v>7.393027096</v>
      </c>
      <c r="K19">
        <v>7.3589715570000003</v>
      </c>
      <c r="L19">
        <v>7.4179949269999996</v>
      </c>
      <c r="M19">
        <v>7.4040919929999998</v>
      </c>
    </row>
    <row r="20" spans="1:13" x14ac:dyDescent="0.3">
      <c r="A20">
        <v>2009</v>
      </c>
      <c r="B20">
        <v>7.4720288999999998</v>
      </c>
      <c r="C20">
        <v>7.3457708019999997</v>
      </c>
      <c r="D20">
        <v>7.5956994260000004</v>
      </c>
      <c r="E20">
        <v>7.3476625139999996</v>
      </c>
      <c r="F20">
        <v>7.4007440889999998</v>
      </c>
      <c r="G20">
        <v>7.3632631709999998</v>
      </c>
      <c r="H20">
        <v>7.4420363329999999</v>
      </c>
      <c r="I20">
        <v>7.5218657660000003</v>
      </c>
      <c r="J20">
        <v>7.3718117730000001</v>
      </c>
      <c r="K20">
        <v>7.3240374890000002</v>
      </c>
      <c r="L20">
        <v>7.353843972</v>
      </c>
      <c r="M20">
        <v>7.3240374890000002</v>
      </c>
    </row>
    <row r="21" spans="1:13" x14ac:dyDescent="0.3">
      <c r="A21">
        <v>2010</v>
      </c>
      <c r="B21">
        <v>7.4831957940000002</v>
      </c>
      <c r="C21">
        <v>7.360046079</v>
      </c>
      <c r="D21">
        <v>7.5713527889999996</v>
      </c>
      <c r="E21">
        <v>7.4172021089999998</v>
      </c>
      <c r="F21">
        <v>7.405915298</v>
      </c>
      <c r="G21">
        <v>7.3301907320000002</v>
      </c>
      <c r="H21">
        <v>7.4355853999999999</v>
      </c>
      <c r="I21">
        <v>7.5135239250000003</v>
      </c>
      <c r="J21">
        <v>7.360046079</v>
      </c>
      <c r="K21">
        <v>7.317748946</v>
      </c>
      <c r="L21">
        <v>7.3647287620000004</v>
      </c>
      <c r="M21">
        <v>7.3482092379999999</v>
      </c>
    </row>
    <row r="22" spans="1:13" x14ac:dyDescent="0.3">
      <c r="A22">
        <v>2011</v>
      </c>
      <c r="B22">
        <v>7.4570239770000004</v>
      </c>
      <c r="C22">
        <v>7.310430126</v>
      </c>
      <c r="D22">
        <v>7.5800347410000004</v>
      </c>
      <c r="E22">
        <v>7.3793658879999997</v>
      </c>
      <c r="F22">
        <v>7.3797624959999997</v>
      </c>
      <c r="G22">
        <v>7.3511926949999999</v>
      </c>
      <c r="H22">
        <v>7.4334309760000004</v>
      </c>
      <c r="I22">
        <v>7.5083570010000003</v>
      </c>
      <c r="J22">
        <v>7.3793658879999997</v>
      </c>
      <c r="K22">
        <v>7.3103730169999999</v>
      </c>
      <c r="L22">
        <v>7.361425895</v>
      </c>
      <c r="M22">
        <v>7.3285426889999998</v>
      </c>
    </row>
    <row r="23" spans="1:13" x14ac:dyDescent="0.3">
      <c r="A23">
        <v>2012</v>
      </c>
      <c r="B23">
        <v>7.4219282580000003</v>
      </c>
      <c r="C23">
        <v>7.298459072</v>
      </c>
      <c r="D23">
        <v>7.5473304380000004</v>
      </c>
      <c r="E23">
        <v>7.3360190520000002</v>
      </c>
      <c r="F23">
        <v>7.3931797579999996</v>
      </c>
      <c r="G23">
        <v>7.3200574930000002</v>
      </c>
      <c r="H23">
        <v>7.4298912640000001</v>
      </c>
      <c r="I23">
        <v>7.4791221879999998</v>
      </c>
      <c r="J23">
        <v>7.3539590449999999</v>
      </c>
      <c r="K23">
        <v>7.2849661729999999</v>
      </c>
      <c r="L23">
        <v>7.347940972</v>
      </c>
      <c r="M23">
        <v>7.2956234679999996</v>
      </c>
    </row>
    <row r="24" spans="1:13" x14ac:dyDescent="0.3">
      <c r="A24">
        <v>2013</v>
      </c>
      <c r="B24">
        <v>7.395839542</v>
      </c>
      <c r="C24">
        <v>7.3313010209999998</v>
      </c>
      <c r="D24">
        <v>7.5490969659999996</v>
      </c>
      <c r="E24">
        <v>7.3450917029999996</v>
      </c>
      <c r="F24">
        <v>7.3448191850000004</v>
      </c>
      <c r="G24">
        <v>7.3313010209999998</v>
      </c>
      <c r="H24">
        <v>7.4113437290000004</v>
      </c>
      <c r="I24">
        <v>7.4736682200000004</v>
      </c>
      <c r="J24">
        <v>7.3313010209999998</v>
      </c>
      <c r="K24">
        <v>7.2623081489999999</v>
      </c>
      <c r="L24">
        <v>7.3313010209999998</v>
      </c>
      <c r="M24">
        <v>7.2932529529999996</v>
      </c>
    </row>
    <row r="25" spans="1:13" x14ac:dyDescent="0.3">
      <c r="A25">
        <v>2014</v>
      </c>
      <c r="B25">
        <v>7.4615137669999996</v>
      </c>
      <c r="C25">
        <v>7.3175004939999999</v>
      </c>
      <c r="D25">
        <v>7.4992156559999996</v>
      </c>
      <c r="E25">
        <v>7.38143262</v>
      </c>
      <c r="F25">
        <v>7.3709591870000004</v>
      </c>
      <c r="G25">
        <v>7.3168940989999998</v>
      </c>
      <c r="H25">
        <v>7.4177312549999996</v>
      </c>
      <c r="I25">
        <v>7.4922469869999997</v>
      </c>
      <c r="J25">
        <v>7.3228099159999998</v>
      </c>
      <c r="K25">
        <v>7.3168940989999998</v>
      </c>
      <c r="L25">
        <v>7.3135551980000004</v>
      </c>
      <c r="M25">
        <v>7.2915762910000002</v>
      </c>
    </row>
    <row r="26" spans="1:13" x14ac:dyDescent="0.3">
      <c r="A26">
        <v>2015</v>
      </c>
      <c r="B26">
        <v>7.4400292629999996</v>
      </c>
      <c r="C26">
        <v>7.3354840489999997</v>
      </c>
      <c r="D26">
        <v>7.5373203469999996</v>
      </c>
      <c r="E26">
        <v>7.3132203870000003</v>
      </c>
      <c r="F26">
        <v>7.3398623179999998</v>
      </c>
      <c r="G26">
        <v>7.3132203870000003</v>
      </c>
      <c r="H26">
        <v>7.4268406909999998</v>
      </c>
      <c r="I26">
        <v>7.4955419440000002</v>
      </c>
      <c r="J26">
        <v>7.3219587419999996</v>
      </c>
      <c r="K26">
        <v>7.3153474909999998</v>
      </c>
      <c r="L26">
        <v>7.3132203870000003</v>
      </c>
      <c r="M26">
        <v>7.3132203870000003</v>
      </c>
    </row>
    <row r="27" spans="1:13" x14ac:dyDescent="0.3">
      <c r="A27">
        <v>2016</v>
      </c>
      <c r="B27">
        <v>7.485508276</v>
      </c>
      <c r="C27">
        <v>7.3593023400000002</v>
      </c>
      <c r="D27">
        <v>7.5849462589999996</v>
      </c>
      <c r="E27">
        <v>7.4015224379999998</v>
      </c>
      <c r="F27">
        <v>7.3427982959999998</v>
      </c>
      <c r="G27">
        <v>7.3142387820000003</v>
      </c>
      <c r="H27">
        <v>7.457337399</v>
      </c>
      <c r="I27">
        <v>7.5038555730000001</v>
      </c>
      <c r="J27">
        <v>7.3777807910000002</v>
      </c>
      <c r="K27">
        <v>7.3572802560000001</v>
      </c>
      <c r="L27">
        <v>7.357251808</v>
      </c>
      <c r="M27">
        <v>7.3053244069999996</v>
      </c>
    </row>
    <row r="28" spans="1:13" x14ac:dyDescent="0.3">
      <c r="A28">
        <v>2017</v>
      </c>
      <c r="B28">
        <v>7.4602523510000003</v>
      </c>
      <c r="C28">
        <v>7.3424693159999999</v>
      </c>
      <c r="D28">
        <v>7.5649726380000004</v>
      </c>
      <c r="E28">
        <v>7.4026997159999999</v>
      </c>
      <c r="F28">
        <v>7.3424693159999999</v>
      </c>
      <c r="G28">
        <v>7.2936923050000004</v>
      </c>
      <c r="H28">
        <v>7.4520689339999997</v>
      </c>
      <c r="I28">
        <v>7.4602523510000003</v>
      </c>
      <c r="J28">
        <v>7.3756622829999996</v>
      </c>
      <c r="K28">
        <v>7.3012109990000003</v>
      </c>
      <c r="L28">
        <v>7.3424693159999999</v>
      </c>
      <c r="M28">
        <v>7.3171515080000002</v>
      </c>
    </row>
    <row r="29" spans="1:13" x14ac:dyDescent="0.3">
      <c r="A29">
        <v>2018</v>
      </c>
      <c r="B29">
        <v>7.4375828579999999</v>
      </c>
      <c r="C29">
        <v>7.3542583060000002</v>
      </c>
      <c r="D29">
        <v>7.542943374</v>
      </c>
      <c r="E29">
        <v>7.3998405820000004</v>
      </c>
      <c r="F29">
        <v>7.3737729490000001</v>
      </c>
      <c r="G29">
        <v>7.2813862289999998</v>
      </c>
      <c r="H29">
        <v>7.4604689860000004</v>
      </c>
      <c r="I29">
        <v>7.4948029979999999</v>
      </c>
      <c r="J29">
        <v>7.3745365679999999</v>
      </c>
      <c r="K29">
        <v>7.3353040089999997</v>
      </c>
      <c r="L29">
        <v>7.3596933829999998</v>
      </c>
      <c r="M29">
        <v>7.3197998220000002</v>
      </c>
    </row>
    <row r="30" spans="1:13" x14ac:dyDescent="0.3">
      <c r="A30">
        <v>2019</v>
      </c>
      <c r="B30">
        <v>7.4744183560000002</v>
      </c>
      <c r="C30">
        <v>7.3826088580000002</v>
      </c>
      <c r="D30">
        <v>7.6057558600000004</v>
      </c>
      <c r="E30">
        <v>7.3921802579999998</v>
      </c>
      <c r="F30">
        <v>7.3921802579999998</v>
      </c>
      <c r="G30">
        <v>7.3390596950000004</v>
      </c>
      <c r="H30">
        <v>7.5169584150000004</v>
      </c>
      <c r="I30">
        <v>7.5257116499999999</v>
      </c>
      <c r="J30">
        <v>7.4075312929999999</v>
      </c>
      <c r="K30">
        <v>7.3626278779999996</v>
      </c>
      <c r="L30">
        <v>7.406017802</v>
      </c>
      <c r="M30">
        <v>7.3826088580000002</v>
      </c>
    </row>
    <row r="31" spans="1:13" x14ac:dyDescent="0.3">
      <c r="A31">
        <v>2020</v>
      </c>
      <c r="B31">
        <v>7.5158654169999997</v>
      </c>
      <c r="C31">
        <v>7.4105049010000004</v>
      </c>
      <c r="D31">
        <v>7.6535120330000002</v>
      </c>
      <c r="E31">
        <v>7.4105049010000004</v>
      </c>
      <c r="F31">
        <v>7.4688704479999997</v>
      </c>
      <c r="G31">
        <v>7.372762625</v>
      </c>
      <c r="H31">
        <v>7.5158654169999997</v>
      </c>
      <c r="I31">
        <v>7.528287937</v>
      </c>
      <c r="J31">
        <v>7.416597415</v>
      </c>
      <c r="K31">
        <v>7.4105049010000004</v>
      </c>
      <c r="L31">
        <v>7.4164207309999997</v>
      </c>
      <c r="M31">
        <v>7.4270232629999997</v>
      </c>
    </row>
    <row r="32" spans="1:13" x14ac:dyDescent="0.3">
      <c r="A32">
        <v>2021</v>
      </c>
      <c r="B32">
        <v>7.5397837540000001</v>
      </c>
      <c r="C32">
        <v>7.4397002959999998</v>
      </c>
      <c r="D32">
        <v>7.7140631129999999</v>
      </c>
      <c r="E32">
        <v>7.4656757819999999</v>
      </c>
      <c r="F32">
        <v>7.4666646349999999</v>
      </c>
      <c r="G32">
        <v>7.3856330740000002</v>
      </c>
      <c r="H32">
        <v>7.5397837540000001</v>
      </c>
      <c r="I32">
        <v>7.568502649</v>
      </c>
      <c r="J32">
        <v>7.4661628179999999</v>
      </c>
      <c r="K32">
        <v>7.4197660809999997</v>
      </c>
      <c r="L32">
        <v>7.4666619819999998</v>
      </c>
      <c r="M32">
        <v>7.4640899269999998</v>
      </c>
    </row>
    <row r="33" spans="1:13" x14ac:dyDescent="0.3">
      <c r="A33">
        <v>2022</v>
      </c>
      <c r="B33">
        <v>7.5517582220000001</v>
      </c>
      <c r="C33">
        <v>7.4147545800000003</v>
      </c>
      <c r="D33">
        <v>7.6989892480000002</v>
      </c>
      <c r="E33">
        <v>7.4656569169999996</v>
      </c>
      <c r="F33">
        <v>7.4383490209999996</v>
      </c>
      <c r="G33">
        <v>7.4147545800000003</v>
      </c>
      <c r="H33">
        <v>7.5298673870000004</v>
      </c>
      <c r="I33">
        <v>7.5970761360000001</v>
      </c>
      <c r="J33">
        <v>7.4620997869999997</v>
      </c>
      <c r="K33">
        <v>7.3721967270000004</v>
      </c>
      <c r="L33">
        <v>7.463544744</v>
      </c>
      <c r="M33">
        <v>7.4197421209999996</v>
      </c>
    </row>
    <row r="34" spans="1:13" x14ac:dyDescent="0.3">
      <c r="A34">
        <v>2023</v>
      </c>
      <c r="B34">
        <v>7.5717667999999998</v>
      </c>
      <c r="C34">
        <v>7.4324449369999996</v>
      </c>
      <c r="D34">
        <v>7.6899499159999998</v>
      </c>
      <c r="E34">
        <v>7.473534763</v>
      </c>
      <c r="F34">
        <v>7.4290675390000001</v>
      </c>
      <c r="G34">
        <v>7.4093749349999998</v>
      </c>
      <c r="H34">
        <v>7.5314824089999997</v>
      </c>
      <c r="I34">
        <v>7.572582809</v>
      </c>
      <c r="J34">
        <v>7.4853009469999998</v>
      </c>
      <c r="K34">
        <v>7.3978134930000001</v>
      </c>
      <c r="L34">
        <v>7.4645816690000002</v>
      </c>
      <c r="M34">
        <v>7.4390148800000002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B86FB-B250-417D-9B45-F29C4FC556F1}">
  <dimension ref="A1:M34"/>
  <sheetViews>
    <sheetView tabSelected="1" topLeftCell="A13" workbookViewId="0">
      <selection activeCell="H23" sqref="H23"/>
    </sheetView>
  </sheetViews>
  <sheetFormatPr defaultRowHeight="14.4" x14ac:dyDescent="0.3"/>
  <sheetData>
    <row r="1" spans="1:13" x14ac:dyDescent="0.3">
      <c r="A1" t="s">
        <v>9</v>
      </c>
      <c r="B1" t="s">
        <v>0</v>
      </c>
      <c r="C1" t="s">
        <v>5</v>
      </c>
      <c r="D1" t="s">
        <v>1</v>
      </c>
      <c r="E1" t="s">
        <v>2</v>
      </c>
      <c r="F1" t="s">
        <v>3</v>
      </c>
      <c r="G1" t="s">
        <v>13</v>
      </c>
      <c r="H1" t="s">
        <v>12</v>
      </c>
      <c r="I1" t="s">
        <v>7</v>
      </c>
      <c r="J1" t="s">
        <v>8</v>
      </c>
      <c r="K1" t="s">
        <v>11</v>
      </c>
      <c r="L1" t="s">
        <v>6</v>
      </c>
      <c r="M1" t="s">
        <v>4</v>
      </c>
    </row>
    <row r="2" spans="1:13" x14ac:dyDescent="0.3">
      <c r="A2">
        <v>1991</v>
      </c>
      <c r="B2" t="e">
        <v>#N/A</v>
      </c>
      <c r="C2" t="e">
        <v>#N/A</v>
      </c>
      <c r="D2" t="e">
        <v>#N/A</v>
      </c>
      <c r="E2" t="e">
        <v>#N/A</v>
      </c>
      <c r="F2" t="e">
        <v>#N/A</v>
      </c>
      <c r="G2" t="e">
        <v>#N/A</v>
      </c>
      <c r="H2" t="e">
        <v>#N/A</v>
      </c>
      <c r="I2" t="e">
        <v>#N/A</v>
      </c>
      <c r="J2" t="e">
        <v>#N/A</v>
      </c>
      <c r="K2" t="e">
        <v>#N/A</v>
      </c>
      <c r="L2" t="e">
        <v>#N/A</v>
      </c>
      <c r="M2" t="e">
        <v>#N/A</v>
      </c>
    </row>
    <row r="3" spans="1:13" x14ac:dyDescent="0.3">
      <c r="A3">
        <v>1992</v>
      </c>
      <c r="B3" t="e">
        <v>#N/A</v>
      </c>
      <c r="C3" t="e">
        <v>#N/A</v>
      </c>
      <c r="D3" t="e">
        <v>#N/A</v>
      </c>
      <c r="E3" t="e">
        <v>#N/A</v>
      </c>
      <c r="F3" t="e">
        <v>#N/A</v>
      </c>
      <c r="G3" t="e">
        <v>#N/A</v>
      </c>
      <c r="H3" t="e">
        <v>#N/A</v>
      </c>
      <c r="I3" t="e">
        <v>#N/A</v>
      </c>
      <c r="J3" t="e">
        <v>#N/A</v>
      </c>
      <c r="K3" t="e">
        <v>#N/A</v>
      </c>
      <c r="L3" t="e">
        <v>#N/A</v>
      </c>
      <c r="M3" t="e">
        <v>#N/A</v>
      </c>
    </row>
    <row r="4" spans="1:13" x14ac:dyDescent="0.3">
      <c r="A4">
        <v>1993</v>
      </c>
      <c r="B4" t="e">
        <v>#N/A</v>
      </c>
      <c r="C4" t="e">
        <v>#N/A</v>
      </c>
      <c r="D4" t="e">
        <v>#N/A</v>
      </c>
      <c r="E4" t="e">
        <v>#N/A</v>
      </c>
      <c r="F4" t="e">
        <v>#N/A</v>
      </c>
      <c r="G4" t="e">
        <v>#N/A</v>
      </c>
      <c r="H4" t="e">
        <v>#N/A</v>
      </c>
      <c r="I4" t="e">
        <v>#N/A</v>
      </c>
      <c r="J4" t="e">
        <v>#N/A</v>
      </c>
      <c r="K4" t="e">
        <v>#N/A</v>
      </c>
      <c r="L4" t="e">
        <v>#N/A</v>
      </c>
      <c r="M4" t="e">
        <v>#N/A</v>
      </c>
    </row>
    <row r="5" spans="1:13" x14ac:dyDescent="0.3">
      <c r="A5">
        <v>1994</v>
      </c>
      <c r="B5" t="e">
        <v>#N/A</v>
      </c>
      <c r="C5" t="e">
        <v>#N/A</v>
      </c>
      <c r="D5" t="e">
        <v>#N/A</v>
      </c>
      <c r="E5" t="e">
        <v>#N/A</v>
      </c>
      <c r="F5" t="e">
        <v>#N/A</v>
      </c>
      <c r="G5" t="e">
        <v>#N/A</v>
      </c>
      <c r="H5" t="e">
        <v>#N/A</v>
      </c>
      <c r="I5" t="e">
        <v>#N/A</v>
      </c>
      <c r="J5" t="e">
        <v>#N/A</v>
      </c>
      <c r="K5" t="e">
        <v>#N/A</v>
      </c>
      <c r="L5" t="e">
        <v>#N/A</v>
      </c>
      <c r="M5" t="e">
        <v>#N/A</v>
      </c>
    </row>
    <row r="6" spans="1:13" x14ac:dyDescent="0.3">
      <c r="A6">
        <v>1995</v>
      </c>
      <c r="B6" t="e">
        <v>#N/A</v>
      </c>
      <c r="C6" t="e">
        <v>#N/A</v>
      </c>
      <c r="D6" t="e">
        <v>#N/A</v>
      </c>
      <c r="E6" t="e">
        <v>#N/A</v>
      </c>
      <c r="F6" t="e">
        <v>#N/A</v>
      </c>
      <c r="G6" t="e">
        <v>#N/A</v>
      </c>
      <c r="H6" t="e">
        <v>#N/A</v>
      </c>
      <c r="I6" t="e">
        <v>#N/A</v>
      </c>
      <c r="J6" t="e">
        <v>#N/A</v>
      </c>
      <c r="K6" t="e">
        <v>#N/A</v>
      </c>
      <c r="L6" t="e">
        <v>#N/A</v>
      </c>
      <c r="M6" t="e">
        <v>#N/A</v>
      </c>
    </row>
    <row r="7" spans="1:13" x14ac:dyDescent="0.3">
      <c r="A7">
        <v>1996</v>
      </c>
      <c r="B7" t="e">
        <v>#N/A</v>
      </c>
      <c r="C7" t="e">
        <v>#N/A</v>
      </c>
      <c r="D7" t="e">
        <v>#N/A</v>
      </c>
      <c r="E7" t="e">
        <v>#N/A</v>
      </c>
      <c r="F7" t="e">
        <v>#N/A</v>
      </c>
      <c r="G7" t="e">
        <v>#N/A</v>
      </c>
      <c r="H7" t="e">
        <v>#N/A</v>
      </c>
      <c r="I7" t="e">
        <v>#N/A</v>
      </c>
      <c r="J7" t="e">
        <v>#N/A</v>
      </c>
      <c r="K7" t="e">
        <v>#N/A</v>
      </c>
      <c r="L7" t="e">
        <v>#N/A</v>
      </c>
      <c r="M7" t="e">
        <v>#N/A</v>
      </c>
    </row>
    <row r="8" spans="1:13" x14ac:dyDescent="0.3">
      <c r="A8">
        <v>1997</v>
      </c>
      <c r="B8" t="e">
        <v>#N/A</v>
      </c>
      <c r="C8" t="e">
        <v>#N/A</v>
      </c>
      <c r="D8" t="e">
        <v>#N/A</v>
      </c>
      <c r="E8" t="e">
        <v>#N/A</v>
      </c>
      <c r="F8" t="e">
        <v>#N/A</v>
      </c>
      <c r="G8" t="e">
        <v>#N/A</v>
      </c>
      <c r="H8" t="e">
        <v>#N/A</v>
      </c>
      <c r="I8" t="e">
        <v>#N/A</v>
      </c>
      <c r="J8" t="e">
        <v>#N/A</v>
      </c>
      <c r="K8" t="e">
        <v>#N/A</v>
      </c>
      <c r="L8" t="e">
        <v>#N/A</v>
      </c>
      <c r="M8" t="e">
        <v>#N/A</v>
      </c>
    </row>
    <row r="9" spans="1:13" x14ac:dyDescent="0.3">
      <c r="A9">
        <v>1998</v>
      </c>
      <c r="B9" t="e">
        <v>#N/A</v>
      </c>
      <c r="C9" t="e">
        <v>#N/A</v>
      </c>
      <c r="D9" t="e">
        <v>#N/A</v>
      </c>
      <c r="E9" t="e">
        <v>#N/A</v>
      </c>
      <c r="F9" t="e">
        <v>#N/A</v>
      </c>
      <c r="G9" t="e">
        <v>#N/A</v>
      </c>
      <c r="H9" t="e">
        <v>#N/A</v>
      </c>
      <c r="I9" t="e">
        <v>#N/A</v>
      </c>
      <c r="J9" t="e">
        <v>#N/A</v>
      </c>
      <c r="K9" t="e">
        <v>#N/A</v>
      </c>
      <c r="L9" t="e">
        <v>#N/A</v>
      </c>
      <c r="M9" t="e">
        <v>#N/A</v>
      </c>
    </row>
    <row r="10" spans="1:13" x14ac:dyDescent="0.3">
      <c r="A10">
        <v>1999</v>
      </c>
      <c r="B10">
        <f>CPI!$D26/(EXP(earn!B10))</f>
        <v>0.46787751413895606</v>
      </c>
      <c r="C10">
        <f>CPI!$D26/(EXP(earn!C10))</f>
        <v>0.49984550553095247</v>
      </c>
      <c r="D10">
        <f>CPI!$D26/(EXP(earn!D10))</f>
        <v>0.372646578123352</v>
      </c>
      <c r="E10">
        <f>CPI!$D26/(EXP(earn!E10))</f>
        <v>0.4512889522680012</v>
      </c>
      <c r="F10">
        <f>CPI!$D26/(EXP(earn!F10))</f>
        <v>0.49150281539376744</v>
      </c>
      <c r="G10" t="e">
        <v>#N/A</v>
      </c>
      <c r="H10">
        <f>CPI!$D26/(EXP(earn!H10))</f>
        <v>0.4964178396492524</v>
      </c>
      <c r="I10">
        <f>CPI!$D26/(EXP(earn!I10))</f>
        <v>0.44804222479009831</v>
      </c>
      <c r="J10">
        <f>CPI!$D26/(EXP(earn!J10))</f>
        <v>0.50150621228707382</v>
      </c>
      <c r="K10">
        <f>CPI!$D26/(EXP(earn!K10))</f>
        <v>0.50953846160654581</v>
      </c>
      <c r="L10">
        <f>CPI!$D26/(EXP(earn!L10))</f>
        <v>0.47769230782185368</v>
      </c>
      <c r="M10">
        <f>CPI!$D26/(EXP(earn!M10))</f>
        <v>0.50654880770300514</v>
      </c>
    </row>
    <row r="11" spans="1:13" x14ac:dyDescent="0.3">
      <c r="A11">
        <v>2000</v>
      </c>
      <c r="B11">
        <f>CPI!$D27/(EXP(earn!B11))</f>
        <v>0.43761384444587836</v>
      </c>
      <c r="C11">
        <f>CPI!$D27/(EXP(earn!C11))</f>
        <v>0.49534680124046843</v>
      </c>
      <c r="D11">
        <f>CPI!$D27/(EXP(earn!D11))</f>
        <v>0.36042353960616974</v>
      </c>
      <c r="E11">
        <f>CPI!$D27/(EXP(earn!E11))</f>
        <v>0.44365843100166663</v>
      </c>
      <c r="F11">
        <f>CPI!$D27/(EXP(earn!F11))</f>
        <v>0.46409114903677889</v>
      </c>
      <c r="G11" t="e">
        <v>#N/A</v>
      </c>
      <c r="H11">
        <f>CPI!$D27/(EXP(earn!H11))</f>
        <v>0.47652010764231695</v>
      </c>
      <c r="I11">
        <f>CPI!$D27/(EXP(earn!I11))</f>
        <v>0.421577180504283</v>
      </c>
      <c r="J11">
        <f>CPI!$D27/(EXP(earn!J11))</f>
        <v>0.48683896635084484</v>
      </c>
      <c r="K11">
        <f>CPI!$D27/(EXP(earn!K11))</f>
        <v>0.49096153854479635</v>
      </c>
      <c r="L11">
        <f>CPI!$D27/(EXP(earn!L11))</f>
        <v>0.48892857226776465</v>
      </c>
      <c r="M11">
        <f>CPI!$D27/(EXP(earn!M11))</f>
        <v>0.47593955116854203</v>
      </c>
    </row>
    <row r="12" spans="1:13" x14ac:dyDescent="0.3">
      <c r="A12">
        <v>2001</v>
      </c>
      <c r="B12">
        <f>CPI!$D28/(EXP(earn!B12))</f>
        <v>0.46628307644144446</v>
      </c>
      <c r="C12">
        <f>CPI!$D28/(EXP(earn!C12))</f>
        <v>0.51396797387160542</v>
      </c>
      <c r="D12">
        <f>CPI!$D28/(EXP(earn!D12))</f>
        <v>0.38797713205010698</v>
      </c>
      <c r="E12">
        <f>CPI!$D28/(EXP(earn!E12))</f>
        <v>0.47921014336726414</v>
      </c>
      <c r="F12">
        <f>CPI!$D28/(EXP(earn!F12))</f>
        <v>0.48497144546345128</v>
      </c>
      <c r="G12">
        <f>CPI!$D28/(EXP(earn!G12))</f>
        <v>0.5309966927454226</v>
      </c>
      <c r="H12">
        <f>CPI!$D28/(EXP(earn!H12))</f>
        <v>0.49977494738837158</v>
      </c>
      <c r="I12">
        <f>CPI!$D28/(EXP(earn!I12))</f>
        <v>0.4434233335142162</v>
      </c>
      <c r="J12">
        <f>CPI!$D28/(EXP(earn!J12))</f>
        <v>0.52227690358410817</v>
      </c>
      <c r="K12">
        <f>CPI!$D28/(EXP(earn!K12))</f>
        <v>0.53043752023156399</v>
      </c>
      <c r="L12">
        <f>CPI!$D28/(EXP(earn!L12))</f>
        <v>0.54403846162386849</v>
      </c>
      <c r="M12">
        <f>CPI!$D28/(EXP(earn!M12))</f>
        <v>0.52227690358410817</v>
      </c>
    </row>
    <row r="13" spans="1:13" x14ac:dyDescent="0.3">
      <c r="A13">
        <v>2002</v>
      </c>
      <c r="B13">
        <f>CPI!$D29/(EXP(earn!B13))</f>
        <v>0.45659238790565015</v>
      </c>
      <c r="C13">
        <f>CPI!$D29/(EXP(earn!C13))</f>
        <v>0.49733381754109585</v>
      </c>
      <c r="D13">
        <f>CPI!$D29/(EXP(earn!D13))</f>
        <v>0.36726326848611718</v>
      </c>
      <c r="E13">
        <f>CPI!$D29/(EXP(earn!E13))</f>
        <v>0.4486089301973229</v>
      </c>
      <c r="F13">
        <f>CPI!$D29/(EXP(earn!F13))</f>
        <v>0.47516449516880321</v>
      </c>
      <c r="G13">
        <f>CPI!$D29/(EXP(earn!G13))</f>
        <v>0.52219656259753955</v>
      </c>
      <c r="H13">
        <f>CPI!$D29/(EXP(earn!H13))</f>
        <v>0.48992607663003962</v>
      </c>
      <c r="I13">
        <f>CPI!$D29/(EXP(earn!I13))</f>
        <v>0.41368153666489421</v>
      </c>
      <c r="J13">
        <f>CPI!$D29/(EXP(earn!J13))</f>
        <v>0.50539045700050722</v>
      </c>
      <c r="K13">
        <f>CPI!$D29/(EXP(earn!K13))</f>
        <v>0.52650377771907331</v>
      </c>
      <c r="L13">
        <f>CPI!$D29/(EXP(earn!L13))</f>
        <v>0.49680001742970931</v>
      </c>
      <c r="M13">
        <f>CPI!$D29/(EXP(earn!M13))</f>
        <v>0.48262844504689273</v>
      </c>
    </row>
    <row r="14" spans="1:13" x14ac:dyDescent="0.3">
      <c r="A14">
        <v>2003</v>
      </c>
      <c r="B14">
        <f>CPI!$D30/(EXP(earn!B14))</f>
        <v>0.45063395556852526</v>
      </c>
      <c r="C14">
        <f>CPI!$D30/(EXP(earn!C14))</f>
        <v>0.4964178454899254</v>
      </c>
      <c r="D14">
        <f>CPI!$D30/(EXP(earn!D14))</f>
        <v>0.40137276318074155</v>
      </c>
      <c r="E14">
        <f>CPI!$D30/(EXP(earn!E14))</f>
        <v>0.4964178454899254</v>
      </c>
      <c r="F14">
        <f>CPI!$D30/(EXP(earn!F14))</f>
        <v>0.49679999994214685</v>
      </c>
      <c r="G14">
        <f>CPI!$D30/(EXP(earn!G14))</f>
        <v>0.56411119058965753</v>
      </c>
      <c r="H14">
        <f>CPI!$D30/(EXP(earn!H14))</f>
        <v>0.50334778643635625</v>
      </c>
      <c r="I14">
        <f>CPI!$D30/(EXP(earn!I14))</f>
        <v>0.4432302175505855</v>
      </c>
      <c r="J14">
        <f>CPI!$D30/(EXP(earn!J14))</f>
        <v>0.54455979326498061</v>
      </c>
      <c r="K14">
        <f>CPI!$D30/(EXP(earn!K14))</f>
        <v>0.56411119058965753</v>
      </c>
      <c r="L14">
        <f>CPI!$D30/(EXP(earn!L14))</f>
        <v>0.53172431785160945</v>
      </c>
      <c r="M14">
        <f>CPI!$D30/(EXP(earn!M14))</f>
        <v>0.53076923097039386</v>
      </c>
    </row>
    <row r="15" spans="1:13" x14ac:dyDescent="0.3">
      <c r="A15">
        <v>2004</v>
      </c>
      <c r="B15">
        <f>CPI!$D31/(EXP(earn!B15))</f>
        <v>0.50197498488480286</v>
      </c>
      <c r="C15">
        <f>CPI!$D31/(EXP(earn!C15))</f>
        <v>0.50002910390758937</v>
      </c>
      <c r="D15">
        <f>CPI!$D31/(EXP(earn!D15))</f>
        <v>0.38230577806507632</v>
      </c>
      <c r="E15">
        <f>CPI!$D31/(EXP(earn!E15))</f>
        <v>0.49008940446024846</v>
      </c>
      <c r="F15">
        <f>CPI!$D31/(EXP(earn!F15))</f>
        <v>0.52839475401545999</v>
      </c>
      <c r="G15">
        <f>CPI!$D31/(EXP(earn!G15))</f>
        <v>0.58155812765904213</v>
      </c>
      <c r="H15">
        <f>CPI!$D31/(EXP(earn!H15))</f>
        <v>0.51736729245013813</v>
      </c>
      <c r="I15">
        <f>CPI!$D31/(EXP(earn!I15))</f>
        <v>0.46614531419082827</v>
      </c>
      <c r="J15">
        <f>CPI!$D31/(EXP(earn!J15))</f>
        <v>0.55125724225006933</v>
      </c>
      <c r="K15">
        <f>CPI!$D31/(EXP(earn!K15))</f>
        <v>0.56917906084206005</v>
      </c>
      <c r="L15">
        <f>CPI!$D31/(EXP(earn!L15))</f>
        <v>0.55732094259498166</v>
      </c>
      <c r="M15">
        <f>CPI!$D31/(EXP(earn!M15))</f>
        <v>0.56370014907377208</v>
      </c>
    </row>
    <row r="16" spans="1:13" x14ac:dyDescent="0.3">
      <c r="A16">
        <v>2005</v>
      </c>
      <c r="B16">
        <f>CPI!$D32/(EXP(earn!B16))</f>
        <v>0.49077464799112608</v>
      </c>
      <c r="C16">
        <f>CPI!$D32/(EXP(earn!C16))</f>
        <v>0.5307651846878122</v>
      </c>
      <c r="D16">
        <f>CPI!$D32/(EXP(earn!D16))</f>
        <v>0.35712799039580534</v>
      </c>
      <c r="E16">
        <f>CPI!$D32/(EXP(earn!E16))</f>
        <v>0.52143237084295535</v>
      </c>
      <c r="F16">
        <f>CPI!$D32/(EXP(earn!F16))</f>
        <v>0.52267498382327093</v>
      </c>
      <c r="G16">
        <f>CPI!$D32/(EXP(earn!G16))</f>
        <v>0.57436811267210441</v>
      </c>
      <c r="H16">
        <f>CPI!$D32/(EXP(earn!H16))</f>
        <v>0.514584691492739</v>
      </c>
      <c r="I16">
        <f>CPI!$D32/(EXP(earn!I16))</f>
        <v>0.47304117622972508</v>
      </c>
      <c r="J16">
        <f>CPI!$D32/(EXP(earn!J16))</f>
        <v>0.55730552758924978</v>
      </c>
      <c r="K16">
        <f>CPI!$D32/(EXP(earn!K16))</f>
        <v>0.58030324959987634</v>
      </c>
      <c r="L16">
        <f>CPI!$D32/(EXP(earn!L16))</f>
        <v>0.55991407588822129</v>
      </c>
      <c r="M16">
        <f>CPI!$D32/(EXP(earn!M16))</f>
        <v>0.54688356245113379</v>
      </c>
    </row>
    <row r="17" spans="1:13" x14ac:dyDescent="0.3">
      <c r="A17">
        <v>2006</v>
      </c>
      <c r="B17">
        <f>CPI!$D33/(EXP(earn!B17))</f>
        <v>0.49384615363059187</v>
      </c>
      <c r="C17">
        <f>CPI!$D33/(EXP(earn!C17))</f>
        <v>0.51629370628992166</v>
      </c>
      <c r="D17">
        <f>CPI!$D33/(EXP(earn!D17))</f>
        <v>0.38967958003729192</v>
      </c>
      <c r="E17">
        <f>CPI!$D33/(EXP(earn!E17))</f>
        <v>0.51360000021069019</v>
      </c>
      <c r="F17">
        <f>CPI!$D33/(EXP(earn!F17))</f>
        <v>0.52695148094553756</v>
      </c>
      <c r="G17">
        <f>CPI!$D33/(EXP(earn!G17))</f>
        <v>0.57933638910964602</v>
      </c>
      <c r="H17">
        <f>CPI!$D33/(EXP(earn!H17))</f>
        <v>0.53366265215151565</v>
      </c>
      <c r="I17">
        <f>CPI!$D33/(EXP(earn!I17))</f>
        <v>0.4918213681925081</v>
      </c>
      <c r="J17">
        <f>CPI!$D33/(EXP(earn!J17))</f>
        <v>0.5674862294563372</v>
      </c>
      <c r="K17">
        <f>CPI!$D33/(EXP(earn!K17))</f>
        <v>0.61100687599707515</v>
      </c>
      <c r="L17">
        <f>CPI!$D33/(EXP(earn!L17))</f>
        <v>0.5674862294563372</v>
      </c>
      <c r="M17">
        <f>CPI!$D33/(EXP(earn!M17))</f>
        <v>0.52695148094553756</v>
      </c>
    </row>
    <row r="18" spans="1:13" x14ac:dyDescent="0.3">
      <c r="A18">
        <v>2007</v>
      </c>
      <c r="B18">
        <f>CPI!$D34/(EXP(earn!B18))</f>
        <v>0.50403412919623258</v>
      </c>
      <c r="C18">
        <f>CPI!$D34/(EXP(earn!C18))</f>
        <v>0.50764463096495549</v>
      </c>
      <c r="D18">
        <f>CPI!$D34/(EXP(earn!D18))</f>
        <v>0.38058701018224089</v>
      </c>
      <c r="E18">
        <f>CPI!$D34/(EXP(earn!E18))</f>
        <v>0.48429816694187233</v>
      </c>
      <c r="F18">
        <f>CPI!$D34/(EXP(earn!F18))</f>
        <v>0.52710933849031727</v>
      </c>
      <c r="G18">
        <f>CPI!$D34/(EXP(earn!G18))</f>
        <v>0.58596923103829235</v>
      </c>
      <c r="H18">
        <f>CPI!$D34/(EXP(earn!H18))</f>
        <v>0.54089465894204969</v>
      </c>
      <c r="I18">
        <f>CPI!$D34/(EXP(earn!I18))</f>
        <v>0.48796881222599325</v>
      </c>
      <c r="J18">
        <f>CPI!$D34/(EXP(earn!J18))</f>
        <v>0.54369573375834512</v>
      </c>
      <c r="K18">
        <f>CPI!$D34/(EXP(earn!K18))</f>
        <v>0.60187765240005542</v>
      </c>
      <c r="L18">
        <f>CPI!$D34/(EXP(earn!L18))</f>
        <v>0.58556006683270734</v>
      </c>
      <c r="M18">
        <f>CPI!$D34/(EXP(earn!M18))</f>
        <v>0.53838697631933119</v>
      </c>
    </row>
    <row r="19" spans="1:13" x14ac:dyDescent="0.3">
      <c r="A19">
        <v>2008</v>
      </c>
      <c r="B19">
        <f>CPI!$D35/(EXP(earn!B19))</f>
        <v>0.54309065956609626</v>
      </c>
      <c r="C19">
        <f>CPI!$D35/(EXP(earn!C19))</f>
        <v>0.55550723290415982</v>
      </c>
      <c r="D19">
        <f>CPI!$D35/(EXP(earn!D19))</f>
        <v>0.37997322568881642</v>
      </c>
      <c r="E19">
        <f>CPI!$D35/(EXP(earn!E19))</f>
        <v>0.5098037101250299</v>
      </c>
      <c r="F19">
        <f>CPI!$D35/(EXP(earn!F19))</f>
        <v>0.52136704701023961</v>
      </c>
      <c r="G19">
        <f>CPI!$D35/(EXP(earn!G19))</f>
        <v>0.59305498167008597</v>
      </c>
      <c r="H19">
        <f>CPI!$D35/(EXP(earn!H19))</f>
        <v>0.52715999986756157</v>
      </c>
      <c r="I19">
        <f>CPI!$D35/(EXP(earn!I19))</f>
        <v>0.51291244573578298</v>
      </c>
      <c r="J19">
        <f>CPI!$D35/(EXP(earn!J19))</f>
        <v>0.56437981038796758</v>
      </c>
      <c r="K19">
        <f>CPI!$D35/(EXP(earn!K19))</f>
        <v>0.58393109422399259</v>
      </c>
      <c r="L19">
        <f>CPI!$D35/(EXP(earn!L19))</f>
        <v>0.55046293077725739</v>
      </c>
      <c r="M19">
        <f>CPI!$D35/(EXP(earn!M19))</f>
        <v>0.55816942790072621</v>
      </c>
    </row>
    <row r="20" spans="1:13" x14ac:dyDescent="0.3">
      <c r="A20">
        <v>2009</v>
      </c>
      <c r="B20">
        <f>CPI!$D36/(EXP(earn!B20))</f>
        <v>0.51772315651728262</v>
      </c>
      <c r="C20">
        <f>CPI!$D36/(EXP(earn!C20))</f>
        <v>0.58739573064516726</v>
      </c>
      <c r="D20">
        <f>CPI!$D36/(EXP(earn!D20))</f>
        <v>0.45749690813323191</v>
      </c>
      <c r="E20">
        <f>CPI!$D36/(EXP(earn!E20))</f>
        <v>0.58628559744995834</v>
      </c>
      <c r="F20">
        <f>CPI!$D36/(EXP(earn!F20))</f>
        <v>0.55597618662044279</v>
      </c>
      <c r="G20">
        <f>CPI!$D36/(EXP(earn!G20))</f>
        <v>0.57721013261230858</v>
      </c>
      <c r="H20">
        <f>CPI!$D36/(EXP(earn!H20))</f>
        <v>0.53348620854823448</v>
      </c>
      <c r="I20">
        <f>CPI!$D36/(EXP(earn!I20))</f>
        <v>0.49255384594999485</v>
      </c>
      <c r="J20">
        <f>CPI!$D36/(EXP(earn!J20))</f>
        <v>0.57229682380044578</v>
      </c>
      <c r="K20">
        <f>CPI!$D36/(EXP(earn!K20))</f>
        <v>0.60030152071563159</v>
      </c>
      <c r="L20">
        <f>CPI!$D36/(EXP(earn!L20))</f>
        <v>0.58267267571954817</v>
      </c>
      <c r="M20">
        <f>CPI!$D36/(EXP(earn!M20))</f>
        <v>0.60030152071563159</v>
      </c>
    </row>
    <row r="21" spans="1:13" x14ac:dyDescent="0.3">
      <c r="A21">
        <v>2010</v>
      </c>
      <c r="B21">
        <f>CPI!$D37/(EXP(earn!B21))</f>
        <v>0.51071877955942269</v>
      </c>
      <c r="C21">
        <f>CPI!$D37/(EXP(earn!C21))</f>
        <v>0.57765038774329469</v>
      </c>
      <c r="D21">
        <f>CPI!$D37/(EXP(earn!D21))</f>
        <v>0.46762285711479895</v>
      </c>
      <c r="E21">
        <f>CPI!$D37/(EXP(earn!E21))</f>
        <v>0.54556000006150629</v>
      </c>
      <c r="F21">
        <f>CPI!$D37/(EXP(earn!F21))</f>
        <v>0.55175251379779944</v>
      </c>
      <c r="G21">
        <f>CPI!$D37/(EXP(earn!G21))</f>
        <v>0.5951563637096331</v>
      </c>
      <c r="H21">
        <f>CPI!$D37/(EXP(earn!H21))</f>
        <v>0.53562243426564504</v>
      </c>
      <c r="I21">
        <f>CPI!$D37/(EXP(earn!I21))</f>
        <v>0.49546215535417709</v>
      </c>
      <c r="J21">
        <f>CPI!$D37/(EXP(earn!J21))</f>
        <v>0.57765038774329469</v>
      </c>
      <c r="K21">
        <f>CPI!$D37/(EXP(earn!K21))</f>
        <v>0.60260742797974365</v>
      </c>
      <c r="L21">
        <f>CPI!$D37/(EXP(earn!L21))</f>
        <v>0.57495175743897753</v>
      </c>
      <c r="M21">
        <f>CPI!$D37/(EXP(earn!M21))</f>
        <v>0.58452857120983392</v>
      </c>
    </row>
    <row r="22" spans="1:13" x14ac:dyDescent="0.3">
      <c r="A22">
        <v>2011</v>
      </c>
      <c r="B22">
        <f>CPI!$D38/(EXP(earn!B22))</f>
        <v>0.5175650326076392</v>
      </c>
      <c r="C22">
        <f>CPI!$D38/(EXP(earn!C22))</f>
        <v>0.59928006021514335</v>
      </c>
      <c r="D22">
        <f>CPI!$D38/(EXP(earn!D22))</f>
        <v>0.4576590250787827</v>
      </c>
      <c r="E22">
        <f>CPI!$D38/(EXP(earn!E22))</f>
        <v>0.55936000005126751</v>
      </c>
      <c r="F22">
        <f>CPI!$D38/(EXP(earn!F22))</f>
        <v>0.55913819738762993</v>
      </c>
      <c r="G22">
        <f>CPI!$D38/(EXP(earn!G22))</f>
        <v>0.57534304685056092</v>
      </c>
      <c r="H22">
        <f>CPI!$D38/(EXP(earn!H22))</f>
        <v>0.52992113051235923</v>
      </c>
      <c r="I22">
        <f>CPI!$D38/(EXP(earn!I22))</f>
        <v>0.49166724684004703</v>
      </c>
      <c r="J22">
        <f>CPI!$D38/(EXP(earn!J22))</f>
        <v>0.55936000005126751</v>
      </c>
      <c r="K22">
        <f>CPI!$D38/(EXP(earn!K22))</f>
        <v>0.59931428547737808</v>
      </c>
      <c r="L22">
        <f>CPI!$D38/(EXP(earn!L22))</f>
        <v>0.56948546838575853</v>
      </c>
      <c r="M22">
        <f>CPI!$D38/(EXP(earn!M22))</f>
        <v>0.58852327293891693</v>
      </c>
    </row>
    <row r="23" spans="1:13" x14ac:dyDescent="0.3">
      <c r="A23">
        <v>2012</v>
      </c>
      <c r="B23">
        <f>CPI!$D39/(EXP(earn!B23))</f>
        <v>0.53205903463824922</v>
      </c>
      <c r="C23">
        <f>CPI!$D39/(EXP(earn!C23))</f>
        <v>0.60197964747145061</v>
      </c>
      <c r="D23">
        <f>CPI!$D39/(EXP(earn!D23))</f>
        <v>0.46935164825090037</v>
      </c>
      <c r="E23">
        <f>CPI!$D39/(EXP(earn!E23))</f>
        <v>0.57978865925932221</v>
      </c>
      <c r="F23">
        <f>CPI!$D39/(EXP(earn!F23))</f>
        <v>0.54757692305397354</v>
      </c>
      <c r="G23">
        <f>CPI!$D39/(EXP(earn!G23))</f>
        <v>0.58911724145538058</v>
      </c>
      <c r="H23">
        <f>CPI!$D39/(EXP(earn!H23))</f>
        <v>0.52783906945589176</v>
      </c>
      <c r="I23">
        <f>CPI!$D39/(EXP(earn!I23))</f>
        <v>0.50248235281998443</v>
      </c>
      <c r="J23">
        <f>CPI!$D39/(EXP(earn!J23))</f>
        <v>0.56947999988884179</v>
      </c>
      <c r="K23">
        <f>CPI!$D39/(EXP(earn!K23))</f>
        <v>0.61015714305108493</v>
      </c>
      <c r="L23">
        <f>CPI!$D39/(EXP(earn!L23))</f>
        <v>0.5729175053047485</v>
      </c>
      <c r="M23">
        <f>CPI!$D39/(EXP(earn!M23))</f>
        <v>0.60368904581073446</v>
      </c>
    </row>
    <row r="24" spans="1:13" x14ac:dyDescent="0.3">
      <c r="A24">
        <v>2013</v>
      </c>
      <c r="B24">
        <f>CPI!$D40/(EXP(earn!B24))</f>
        <v>0.54423750002710025</v>
      </c>
      <c r="C24">
        <f>CPI!$D40/(EXP(earn!C24))</f>
        <v>0.58051999994904424</v>
      </c>
      <c r="D24">
        <f>CPI!$D40/(EXP(earn!D24))</f>
        <v>0.46690616617307323</v>
      </c>
      <c r="E24">
        <f>CPI!$D40/(EXP(earn!E24))</f>
        <v>0.57256918283903779</v>
      </c>
      <c r="F24">
        <f>CPI!$D40/(EXP(earn!F24))</f>
        <v>0.57272523951076648</v>
      </c>
      <c r="G24">
        <f>CPI!$D40/(EXP(earn!G24))</f>
        <v>0.58051999994904424</v>
      </c>
      <c r="H24">
        <f>CPI!$D40/(EXP(earn!H24))</f>
        <v>0.53586461516263872</v>
      </c>
      <c r="I24">
        <f>CPI!$D40/(EXP(earn!I24))</f>
        <v>0.50348657805502894</v>
      </c>
      <c r="J24">
        <f>CPI!$D40/(EXP(earn!J24))</f>
        <v>0.58051999994904424</v>
      </c>
      <c r="K24">
        <f>CPI!$D40/(EXP(earn!K24))</f>
        <v>0.62198571455022766</v>
      </c>
      <c r="L24">
        <f>CPI!$D40/(EXP(earn!L24))</f>
        <v>0.58051999994904424</v>
      </c>
      <c r="M24">
        <f>CPI!$D40/(EXP(earn!M24))</f>
        <v>0.60303324116287971</v>
      </c>
    </row>
    <row r="25" spans="1:13" x14ac:dyDescent="0.3">
      <c r="A25">
        <v>2014</v>
      </c>
      <c r="B25">
        <f>CPI!$D41/(EXP(earn!B25))</f>
        <v>0.51748010818603407</v>
      </c>
      <c r="C25">
        <f>CPI!$D41/(EXP(earn!C25))</f>
        <v>0.59763748581150933</v>
      </c>
      <c r="D25">
        <f>CPI!$D41/(EXP(earn!D25))</f>
        <v>0.49833333331151636</v>
      </c>
      <c r="E25">
        <f>CPI!$D41/(EXP(earn!E25))</f>
        <v>0.56062500016809569</v>
      </c>
      <c r="F25">
        <f>CPI!$D41/(EXP(earn!F25))</f>
        <v>0.56652752443644017</v>
      </c>
      <c r="G25">
        <f>CPI!$D41/(EXP(earn!G25))</f>
        <v>0.59800000009703469</v>
      </c>
      <c r="H25">
        <f>CPI!$D41/(EXP(earn!H25))</f>
        <v>0.5406399865634296</v>
      </c>
      <c r="I25">
        <f>CPI!$D41/(EXP(earn!I25))</f>
        <v>0.50181818163759084</v>
      </c>
      <c r="J25">
        <f>CPI!$D41/(EXP(earn!J25))</f>
        <v>0.5944727849967778</v>
      </c>
      <c r="K25">
        <f>CPI!$D41/(EXP(earn!K25))</f>
        <v>0.59800000009703469</v>
      </c>
      <c r="L25">
        <f>CPI!$D41/(EXP(earn!L25))</f>
        <v>0.59999999993805009</v>
      </c>
      <c r="M25">
        <f>CPI!$D41/(EXP(earn!M25))</f>
        <v>0.61333333344249141</v>
      </c>
    </row>
    <row r="26" spans="1:13" x14ac:dyDescent="0.3">
      <c r="A26">
        <v>2015</v>
      </c>
      <c r="B26">
        <f>CPI!$D42/(EXP(earn!B26))</f>
        <v>0.54298800396057478</v>
      </c>
      <c r="C26">
        <f>CPI!$D42/(EXP(earn!C26))</f>
        <v>0.60282831706483697</v>
      </c>
      <c r="D26">
        <f>CPI!$D42/(EXP(earn!D26))</f>
        <v>0.49264860125423193</v>
      </c>
      <c r="E26">
        <f>CPI!$D42/(EXP(earn!E26))</f>
        <v>0.61640000005566165</v>
      </c>
      <c r="F26">
        <f>CPI!$D42/(EXP(earn!F26))</f>
        <v>0.60019474198893474</v>
      </c>
      <c r="G26">
        <f>CPI!$D42/(EXP(earn!G26))</f>
        <v>0.61640000005566165</v>
      </c>
      <c r="H26">
        <f>CPI!$D42/(EXP(earn!H26))</f>
        <v>0.55019667187545851</v>
      </c>
      <c r="I26">
        <f>CPI!$D42/(EXP(earn!I26))</f>
        <v>0.51366666660721283</v>
      </c>
      <c r="J26">
        <f>CPI!$D42/(EXP(earn!J26))</f>
        <v>0.61103714343076299</v>
      </c>
      <c r="K26">
        <f>CPI!$D42/(EXP(earn!K26))</f>
        <v>0.61509024663465328</v>
      </c>
      <c r="L26">
        <f>CPI!$D42/(EXP(earn!L26))</f>
        <v>0.61640000005566165</v>
      </c>
      <c r="M26">
        <f>CPI!$D42/(EXP(earn!M26))</f>
        <v>0.61640000005566165</v>
      </c>
    </row>
    <row r="27" spans="1:13" x14ac:dyDescent="0.3">
      <c r="A27">
        <v>2016</v>
      </c>
      <c r="B27">
        <f>CPI!$D43/(EXP(earn!B27))</f>
        <v>0.55200000012438688</v>
      </c>
      <c r="C27">
        <f>CPI!$D43/(EXP(earn!C27))</f>
        <v>0.62625271173309971</v>
      </c>
      <c r="D27">
        <f>CPI!$D43/(EXP(earn!D27))</f>
        <v>0.49975104453952351</v>
      </c>
      <c r="E27">
        <f>CPI!$D43/(EXP(earn!E27))</f>
        <v>0.60036264712174514</v>
      </c>
      <c r="F27">
        <f>CPI!$D43/(EXP(earn!F27))</f>
        <v>0.63667417564029682</v>
      </c>
      <c r="G27">
        <f>CPI!$D43/(EXP(earn!G27))</f>
        <v>0.65511942057314898</v>
      </c>
      <c r="H27">
        <f>CPI!$D43/(EXP(earn!H27))</f>
        <v>0.56777142871827824</v>
      </c>
      <c r="I27">
        <f>CPI!$D43/(EXP(earn!I27))</f>
        <v>0.54196463460387367</v>
      </c>
      <c r="J27">
        <f>CPI!$D43/(EXP(earn!J27))</f>
        <v>0.61478679413823056</v>
      </c>
      <c r="K27">
        <f>CPI!$D43/(EXP(earn!K27))</f>
        <v>0.62752032850332462</v>
      </c>
      <c r="L27">
        <f>CPI!$D43/(EXP(earn!L27))</f>
        <v>0.62753818045555498</v>
      </c>
      <c r="M27">
        <f>CPI!$D43/(EXP(earn!M27))</f>
        <v>0.66098550816400703</v>
      </c>
    </row>
    <row r="28" spans="1:13" x14ac:dyDescent="0.3">
      <c r="A28">
        <v>2017</v>
      </c>
      <c r="B28">
        <f>CPI!$D44/(EXP(earn!B28))</f>
        <v>0.57500000019773567</v>
      </c>
      <c r="C28">
        <f>CPI!$D44/(EXP(earn!C28))</f>
        <v>0.64687499979785479</v>
      </c>
      <c r="D28">
        <f>CPI!$D44/(EXP(earn!D28))</f>
        <v>0.51783142459088383</v>
      </c>
      <c r="E28">
        <f>CPI!$D44/(EXP(earn!E28))</f>
        <v>0.60906358805419392</v>
      </c>
      <c r="F28">
        <f>CPI!$D44/(EXP(earn!F28))</f>
        <v>0.64687499979785479</v>
      </c>
      <c r="G28">
        <f>CPI!$D44/(EXP(earn!G28))</f>
        <v>0.67920981596720387</v>
      </c>
      <c r="H28">
        <f>CPI!$D44/(EXP(earn!H28))</f>
        <v>0.57972477099170738</v>
      </c>
      <c r="I28">
        <f>CPI!$D44/(EXP(earn!I28))</f>
        <v>0.57500000019773567</v>
      </c>
      <c r="J28">
        <f>CPI!$D44/(EXP(earn!J28))</f>
        <v>0.62575574367882936</v>
      </c>
      <c r="K28">
        <f>CPI!$D44/(EXP(earn!K28))</f>
        <v>0.67412219529788309</v>
      </c>
      <c r="L28">
        <f>CPI!$D44/(EXP(earn!L28))</f>
        <v>0.64687499979785479</v>
      </c>
      <c r="M28">
        <f>CPI!$D44/(EXP(earn!M28))</f>
        <v>0.66346153826463283</v>
      </c>
    </row>
    <row r="29" spans="1:13" x14ac:dyDescent="0.3">
      <c r="A29">
        <v>2018</v>
      </c>
      <c r="B29">
        <f>CPI!$D45/(EXP(earn!B29))</f>
        <v>0.60029999999545269</v>
      </c>
      <c r="C29">
        <f>CPI!$D45/(EXP(earn!C29))</f>
        <v>0.65246277140441133</v>
      </c>
      <c r="D29">
        <f>CPI!$D45/(EXP(earn!D29))</f>
        <v>0.54026999981104118</v>
      </c>
      <c r="E29">
        <f>CPI!$D45/(EXP(earn!E29))</f>
        <v>0.62338967590633798</v>
      </c>
      <c r="F29">
        <f>CPI!$D45/(EXP(earn!F29))</f>
        <v>0.63985362499509846</v>
      </c>
      <c r="G29">
        <f>CPI!$D45/(EXP(earn!G29))</f>
        <v>0.70178434729831629</v>
      </c>
      <c r="H29">
        <f>CPI!$D45/(EXP(earn!H29))</f>
        <v>0.58671747589327983</v>
      </c>
      <c r="I29">
        <f>CPI!$D45/(EXP(earn!I29))</f>
        <v>0.56691500542931572</v>
      </c>
      <c r="J29">
        <f>CPI!$D45/(EXP(earn!J29))</f>
        <v>0.6393652071161533</v>
      </c>
      <c r="K29">
        <f>CPI!$D45/(EXP(earn!K29))</f>
        <v>0.66494769222258365</v>
      </c>
      <c r="L29">
        <f>CPI!$D45/(EXP(earn!L29))</f>
        <v>0.64892620546216173</v>
      </c>
      <c r="M29">
        <f>CPI!$D45/(EXP(earn!M29))</f>
        <v>0.67533750022694128</v>
      </c>
    </row>
    <row r="30" spans="1:13" x14ac:dyDescent="0.3">
      <c r="A30">
        <v>2019</v>
      </c>
      <c r="B30">
        <f>CPI!$D46/(EXP(earn!B30))</f>
        <v>0.59630526307559151</v>
      </c>
      <c r="C30">
        <f>CPI!$D46/(EXP(earn!C30))</f>
        <v>0.6536435813867375</v>
      </c>
      <c r="D30">
        <f>CPI!$D46/(EXP(earn!D30))</f>
        <v>0.52291306069760868</v>
      </c>
      <c r="E30">
        <f>CPI!$D46/(EXP(earn!E30))</f>
        <v>0.64741714261436556</v>
      </c>
      <c r="F30">
        <f>CPI!$D46/(EXP(earn!F30))</f>
        <v>0.64741714261436556</v>
      </c>
      <c r="G30">
        <f>CPI!$D46/(EXP(earn!G30))</f>
        <v>0.68273813592718502</v>
      </c>
      <c r="H30">
        <f>CPI!$D46/(EXP(earn!H30))</f>
        <v>0.57147038568089459</v>
      </c>
      <c r="I30">
        <f>CPI!$D46/(EXP(earn!I30))</f>
        <v>0.56649000014135564</v>
      </c>
      <c r="J30">
        <f>CPI!$D46/(EXP(earn!J30))</f>
        <v>0.63755451385823159</v>
      </c>
      <c r="K30">
        <f>CPI!$D46/(EXP(earn!K30))</f>
        <v>0.66683537430120066</v>
      </c>
      <c r="L30">
        <f>CPI!$D46/(EXP(earn!L30))</f>
        <v>0.63852017745421252</v>
      </c>
      <c r="M30">
        <f>CPI!$D46/(EXP(earn!M30))</f>
        <v>0.6536435813867375</v>
      </c>
    </row>
    <row r="31" spans="1:13" x14ac:dyDescent="0.3">
      <c r="A31">
        <v>2020</v>
      </c>
      <c r="B31">
        <f>CPI!$D47/(EXP(earn!B31))</f>
        <v>0.60167999991346044</v>
      </c>
      <c r="C31">
        <f>CPI!$D47/(EXP(earn!C31))</f>
        <v>0.66853333346593236</v>
      </c>
      <c r="D31">
        <f>CPI!$D47/(EXP(earn!D31))</f>
        <v>0.52430791006672239</v>
      </c>
      <c r="E31">
        <f>CPI!$D47/(EXP(earn!E31))</f>
        <v>0.66853333346593236</v>
      </c>
      <c r="F31">
        <f>CPI!$D47/(EXP(earn!F31))</f>
        <v>0.63063087762041692</v>
      </c>
      <c r="G31">
        <f>CPI!$D47/(EXP(earn!G31))</f>
        <v>0.69424750638858668</v>
      </c>
      <c r="H31">
        <f>CPI!$D47/(EXP(earn!H31))</f>
        <v>0.60167999991346044</v>
      </c>
      <c r="I31">
        <f>CPI!$D47/(EXP(earn!I31))</f>
        <v>0.59425185176552309</v>
      </c>
      <c r="J31">
        <f>CPI!$D47/(EXP(earn!J31))</f>
        <v>0.66447266716602127</v>
      </c>
      <c r="K31">
        <f>CPI!$D47/(EXP(earn!K31))</f>
        <v>0.66853333346593236</v>
      </c>
      <c r="L31">
        <f>CPI!$D47/(EXP(earn!L31))</f>
        <v>0.66459007922685787</v>
      </c>
      <c r="M31">
        <f>CPI!$D47/(EXP(earn!M31))</f>
        <v>0.65758096448654713</v>
      </c>
    </row>
    <row r="32" spans="1:13" x14ac:dyDescent="0.3">
      <c r="A32">
        <v>2021</v>
      </c>
      <c r="B32">
        <f>CPI!$D48/(EXP(earn!B32))</f>
        <v>0.58551428588337051</v>
      </c>
      <c r="C32">
        <f>CPI!$D48/(EXP(earn!C32))</f>
        <v>0.64714736824748631</v>
      </c>
      <c r="D32">
        <f>CPI!$D48/(EXP(earn!D32))</f>
        <v>0.49186841090023797</v>
      </c>
      <c r="E32">
        <f>CPI!$D48/(EXP(earn!E32))</f>
        <v>0.63055384623900768</v>
      </c>
      <c r="F32">
        <f>CPI!$D48/(EXP(earn!F32))</f>
        <v>0.62993062936221522</v>
      </c>
      <c r="G32">
        <f>CPI!$D48/(EXP(earn!G32))</f>
        <v>0.68310000031526541</v>
      </c>
      <c r="H32">
        <f>CPI!$D48/(EXP(earn!H32))</f>
        <v>0.58551428588337051</v>
      </c>
      <c r="I32">
        <f>CPI!$D48/(EXP(earn!I32))</f>
        <v>0.56893812636287877</v>
      </c>
      <c r="J32">
        <f>CPI!$D48/(EXP(earn!J32))</f>
        <v>0.63024681858877918</v>
      </c>
      <c r="K32">
        <f>CPI!$D48/(EXP(earn!K32))</f>
        <v>0.66017718109647094</v>
      </c>
      <c r="L32">
        <f>CPI!$D48/(EXP(earn!L32))</f>
        <v>0.62993230057039185</v>
      </c>
      <c r="M32">
        <f>CPI!$D48/(EXP(earn!M32))</f>
        <v>0.63155460652945294</v>
      </c>
    </row>
    <row r="33" spans="1:13" x14ac:dyDescent="0.3">
      <c r="A33">
        <v>2022</v>
      </c>
      <c r="B33">
        <f>CPI!$D49/(EXP(earn!B33))</f>
        <v>0.57157440135952731</v>
      </c>
      <c r="C33">
        <f>CPI!$D49/(EXP(earn!C33))</f>
        <v>0.65549999977945339</v>
      </c>
      <c r="D33">
        <f>CPI!$D49/(EXP(earn!D33))</f>
        <v>0.49332275479019516</v>
      </c>
      <c r="E33">
        <f>CPI!$D49/(EXP(earn!E33))</f>
        <v>0.62296850632679979</v>
      </c>
      <c r="F33">
        <f>CPI!$D49/(EXP(earn!F33))</f>
        <v>0.64021487479185235</v>
      </c>
      <c r="G33">
        <f>CPI!$D49/(EXP(earn!G33))</f>
        <v>0.65549999977945339</v>
      </c>
      <c r="H33">
        <f>CPI!$D49/(EXP(earn!H33))</f>
        <v>0.58422459879263289</v>
      </c>
      <c r="I33">
        <f>CPI!$D49/(EXP(earn!I33))</f>
        <v>0.546250000249909</v>
      </c>
      <c r="J33">
        <f>CPI!$D49/(EXP(earn!J33))</f>
        <v>0.62518843223146803</v>
      </c>
      <c r="K33">
        <f>CPI!$D49/(EXP(earn!K33))</f>
        <v>0.68399879496046945</v>
      </c>
      <c r="L33">
        <f>CPI!$D49/(EXP(earn!L33))</f>
        <v>0.62428571418144407</v>
      </c>
      <c r="M33">
        <f>CPI!$D49/(EXP(earn!M33))</f>
        <v>0.65223880608401985</v>
      </c>
    </row>
    <row r="34" spans="1:13" x14ac:dyDescent="0.3">
      <c r="A34">
        <v>2023</v>
      </c>
      <c r="B34">
        <f>CPI!$D50/(EXP(earn!B34))</f>
        <v>0.57541416574787907</v>
      </c>
      <c r="C34">
        <f>CPI!$D50/(EXP(earn!C34))</f>
        <v>0.66143514258638225</v>
      </c>
      <c r="D34">
        <f>CPI!$D50/(EXP(earn!D34))</f>
        <v>0.51127466657441012</v>
      </c>
      <c r="E34">
        <f>CPI!$D50/(EXP(earn!E34))</f>
        <v>0.63480769262867098</v>
      </c>
      <c r="F34">
        <f>CPI!$D50/(EXP(earn!F34))</f>
        <v>0.66367284899957324</v>
      </c>
      <c r="G34">
        <f>CPI!$D50/(EXP(earn!G34))</f>
        <v>0.67687183021275421</v>
      </c>
      <c r="H34">
        <f>CPI!$D50/(EXP(earn!H34))</f>
        <v>0.59906760854610852</v>
      </c>
      <c r="I34">
        <f>CPI!$D50/(EXP(earn!I34))</f>
        <v>0.57494481413351584</v>
      </c>
      <c r="J34">
        <f>CPI!$D50/(EXP(earn!J34))</f>
        <v>0.6273821990416607</v>
      </c>
      <c r="K34">
        <f>CPI!$D50/(EXP(earn!K34))</f>
        <v>0.68474285715545247</v>
      </c>
      <c r="L34">
        <f>CPI!$D50/(EXP(earn!L34))</f>
        <v>0.64051670409571126</v>
      </c>
      <c r="M34">
        <f>CPI!$D50/(EXP(earn!M34))</f>
        <v>0.65710379533357388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AEADF-327D-43CE-AFE9-2F15D88D97F4}">
  <dimension ref="A1:D52"/>
  <sheetViews>
    <sheetView workbookViewId="0">
      <selection activeCell="D26" sqref="D26"/>
    </sheetView>
  </sheetViews>
  <sheetFormatPr defaultRowHeight="14.4" x14ac:dyDescent="0.3"/>
  <cols>
    <col min="3" max="3" width="13.21875" bestFit="1" customWidth="1"/>
  </cols>
  <sheetData>
    <row r="1" spans="1:4" x14ac:dyDescent="0.3">
      <c r="A1" s="1" t="s">
        <v>9</v>
      </c>
      <c r="B1" s="1" t="s">
        <v>10</v>
      </c>
      <c r="C1" t="s">
        <v>17</v>
      </c>
      <c r="D1" t="s">
        <v>18</v>
      </c>
    </row>
    <row r="2" spans="1:4" x14ac:dyDescent="0.3">
      <c r="A2" s="3">
        <v>1975</v>
      </c>
      <c r="B2" s="2">
        <v>15.516223018584892</v>
      </c>
    </row>
    <row r="3" spans="1:4" x14ac:dyDescent="0.3">
      <c r="A3" s="3">
        <v>1976</v>
      </c>
      <c r="B3" s="2">
        <v>18.085635469622474</v>
      </c>
    </row>
    <row r="4" spans="1:4" x14ac:dyDescent="0.3">
      <c r="A4" s="3">
        <v>1977</v>
      </c>
      <c r="B4" s="2">
        <v>20.950448370697579</v>
      </c>
    </row>
    <row r="5" spans="1:4" x14ac:dyDescent="0.3">
      <c r="A5" s="3">
        <v>1978</v>
      </c>
      <c r="B5" s="2">
        <v>22.681613467789006</v>
      </c>
    </row>
    <row r="6" spans="1:4" x14ac:dyDescent="0.3">
      <c r="A6" s="3">
        <v>1979</v>
      </c>
      <c r="B6" s="2">
        <v>25.725776314692908</v>
      </c>
    </row>
    <row r="7" spans="1:4" x14ac:dyDescent="0.3">
      <c r="A7" s="3">
        <v>1980</v>
      </c>
      <c r="B7" s="2">
        <v>30.347649804150354</v>
      </c>
    </row>
    <row r="8" spans="1:4" x14ac:dyDescent="0.3">
      <c r="A8" s="3">
        <v>1981</v>
      </c>
      <c r="B8" s="2">
        <v>33.951926827235638</v>
      </c>
    </row>
    <row r="9" spans="1:4" x14ac:dyDescent="0.3">
      <c r="A9" s="3">
        <v>1982</v>
      </c>
      <c r="B9" s="2">
        <v>36.871406783898706</v>
      </c>
    </row>
    <row r="10" spans="1:4" x14ac:dyDescent="0.3">
      <c r="A10" s="3">
        <v>1983</v>
      </c>
      <c r="B10" s="2">
        <v>38.570921743478664</v>
      </c>
    </row>
    <row r="11" spans="1:4" x14ac:dyDescent="0.3">
      <c r="A11" s="3">
        <v>1984</v>
      </c>
      <c r="B11" s="2">
        <v>40.484313692807767</v>
      </c>
    </row>
    <row r="12" spans="1:4" x14ac:dyDescent="0.3">
      <c r="A12" s="3">
        <v>1985</v>
      </c>
      <c r="B12" s="2">
        <v>42.942276023001945</v>
      </c>
    </row>
    <row r="13" spans="1:4" x14ac:dyDescent="0.3">
      <c r="A13" s="3">
        <v>1986</v>
      </c>
      <c r="B13" s="2">
        <v>44.414169514126229</v>
      </c>
    </row>
    <row r="14" spans="1:4" x14ac:dyDescent="0.3">
      <c r="A14" s="3">
        <v>1987</v>
      </c>
      <c r="B14" s="2">
        <v>46.256878906575601</v>
      </c>
    </row>
    <row r="15" spans="1:4" x14ac:dyDescent="0.3">
      <c r="A15" s="3">
        <v>1988</v>
      </c>
      <c r="B15" s="2">
        <v>48.179014917909861</v>
      </c>
    </row>
    <row r="16" spans="1:4" x14ac:dyDescent="0.3">
      <c r="A16" s="3">
        <v>1989</v>
      </c>
      <c r="B16" s="2">
        <v>50.954246187182299</v>
      </c>
    </row>
    <row r="17" spans="1:4" x14ac:dyDescent="0.3">
      <c r="A17" s="3">
        <v>1990</v>
      </c>
      <c r="B17" s="2">
        <v>55.062921910159233</v>
      </c>
    </row>
    <row r="18" spans="1:4" x14ac:dyDescent="0.3">
      <c r="A18" s="3">
        <v>1991</v>
      </c>
      <c r="B18" s="2">
        <v>59.171597633136138</v>
      </c>
    </row>
    <row r="19" spans="1:4" x14ac:dyDescent="0.3">
      <c r="A19" s="3">
        <v>1992</v>
      </c>
      <c r="B19" s="2">
        <v>61.888490707558987</v>
      </c>
    </row>
    <row r="20" spans="1:4" x14ac:dyDescent="0.3">
      <c r="A20" s="3">
        <v>1993</v>
      </c>
      <c r="B20" s="2">
        <v>63.471955996333037</v>
      </c>
    </row>
    <row r="21" spans="1:4" x14ac:dyDescent="0.3">
      <c r="A21" s="3">
        <v>1994</v>
      </c>
      <c r="B21" s="2">
        <v>64.88040670055841</v>
      </c>
    </row>
    <row r="22" spans="1:4" x14ac:dyDescent="0.3">
      <c r="A22" s="3">
        <v>1995</v>
      </c>
      <c r="B22" s="2">
        <v>66.630552546045536</v>
      </c>
    </row>
    <row r="23" spans="1:4" x14ac:dyDescent="0.3">
      <c r="A23" s="3">
        <v>1996</v>
      </c>
      <c r="B23" s="2">
        <v>68.530710892574419</v>
      </c>
    </row>
    <row r="24" spans="1:4" x14ac:dyDescent="0.3">
      <c r="A24" s="3">
        <v>1997</v>
      </c>
      <c r="B24" s="2">
        <v>70.039169930827597</v>
      </c>
    </row>
    <row r="25" spans="1:4" x14ac:dyDescent="0.3">
      <c r="A25" s="3">
        <v>1998</v>
      </c>
      <c r="B25" s="2">
        <v>71.314276189682502</v>
      </c>
    </row>
    <row r="26" spans="1:4" x14ac:dyDescent="0.3">
      <c r="A26" s="3">
        <v>1999</v>
      </c>
      <c r="B26" s="2">
        <v>72.564380365030459</v>
      </c>
      <c r="C26" s="10">
        <v>3.6</v>
      </c>
      <c r="D26">
        <f>C26/B26*100*138</f>
        <v>684.63342138509199</v>
      </c>
    </row>
    <row r="27" spans="1:4" x14ac:dyDescent="0.3">
      <c r="A27" s="3">
        <v>2000</v>
      </c>
      <c r="B27" s="2">
        <v>73.42278523210274</v>
      </c>
      <c r="C27" s="10">
        <v>3.7</v>
      </c>
      <c r="D27">
        <f t="shared" ref="D27:D52" si="0">C27/B27*100*138</f>
        <v>695.42444948921616</v>
      </c>
    </row>
    <row r="28" spans="1:4" x14ac:dyDescent="0.3">
      <c r="A28" s="3">
        <v>2001</v>
      </c>
      <c r="B28" s="2">
        <v>74.547878989915887</v>
      </c>
      <c r="C28" s="10">
        <v>4.0999999999999996</v>
      </c>
      <c r="D28">
        <f t="shared" si="0"/>
        <v>758.97531581889257</v>
      </c>
    </row>
    <row r="29" spans="1:4" x14ac:dyDescent="0.3">
      <c r="A29" s="3">
        <v>2002</v>
      </c>
      <c r="B29" s="2">
        <v>75.681306775564678</v>
      </c>
      <c r="C29" s="10">
        <v>4.2</v>
      </c>
      <c r="D29">
        <f t="shared" si="0"/>
        <v>765.84301288404311</v>
      </c>
    </row>
    <row r="30" spans="1:4" x14ac:dyDescent="0.3">
      <c r="A30" s="3">
        <v>2003</v>
      </c>
      <c r="B30" s="2">
        <v>76.723060255021309</v>
      </c>
      <c r="C30" s="10">
        <v>4.5</v>
      </c>
      <c r="D30">
        <f t="shared" si="0"/>
        <v>809.40462741690146</v>
      </c>
    </row>
    <row r="31" spans="1:4" x14ac:dyDescent="0.3">
      <c r="A31" s="3">
        <v>2004</v>
      </c>
      <c r="B31" s="2">
        <v>77.789815817984859</v>
      </c>
      <c r="C31" s="10">
        <v>4.8499999999999996</v>
      </c>
      <c r="D31">
        <f t="shared" si="0"/>
        <v>860.39540389972103</v>
      </c>
    </row>
    <row r="32" spans="1:4" x14ac:dyDescent="0.3">
      <c r="A32" s="3">
        <v>2005</v>
      </c>
      <c r="B32" s="2">
        <v>79.414951245937189</v>
      </c>
      <c r="C32" s="10">
        <v>5.05</v>
      </c>
      <c r="D32">
        <f t="shared" si="0"/>
        <v>877.54256480218248</v>
      </c>
    </row>
    <row r="33" spans="1:4" x14ac:dyDescent="0.3">
      <c r="A33" s="3">
        <v>2006</v>
      </c>
      <c r="B33" s="2">
        <v>81.365113759479982</v>
      </c>
      <c r="C33" s="10">
        <v>5.35</v>
      </c>
      <c r="D33">
        <f t="shared" si="0"/>
        <v>907.39134487350157</v>
      </c>
    </row>
    <row r="34" spans="1:4" x14ac:dyDescent="0.3">
      <c r="A34" s="3">
        <v>2007</v>
      </c>
      <c r="B34" s="2">
        <v>83.306942245187116</v>
      </c>
      <c r="C34" s="10">
        <v>5.52</v>
      </c>
      <c r="D34">
        <f t="shared" si="0"/>
        <v>914.40158463385319</v>
      </c>
    </row>
    <row r="35" spans="1:4" x14ac:dyDescent="0.3">
      <c r="A35" s="3">
        <v>2008</v>
      </c>
      <c r="B35" s="2">
        <v>86.240520043336971</v>
      </c>
      <c r="C35" s="10">
        <v>5.73</v>
      </c>
      <c r="D35">
        <f t="shared" si="0"/>
        <v>916.90077889447207</v>
      </c>
    </row>
    <row r="36" spans="1:4" x14ac:dyDescent="0.3">
      <c r="A36" s="3">
        <v>2009</v>
      </c>
      <c r="B36" s="2">
        <v>87.932327693974543</v>
      </c>
      <c r="C36" s="10">
        <v>5.8</v>
      </c>
      <c r="D36">
        <f t="shared" si="0"/>
        <v>910.24543645152085</v>
      </c>
    </row>
    <row r="37" spans="1:4" x14ac:dyDescent="0.3">
      <c r="A37" s="3">
        <v>2010</v>
      </c>
      <c r="B37" s="2">
        <v>90.124177014751282</v>
      </c>
      <c r="C37" s="10">
        <v>5.93</v>
      </c>
      <c r="D37">
        <f t="shared" si="0"/>
        <v>908.01383946735655</v>
      </c>
    </row>
    <row r="38" spans="1:4" x14ac:dyDescent="0.3">
      <c r="A38" s="3">
        <v>2011</v>
      </c>
      <c r="B38" s="2">
        <v>93.599466622218586</v>
      </c>
      <c r="C38" s="10">
        <v>6.08</v>
      </c>
      <c r="D38">
        <f t="shared" si="0"/>
        <v>896.41536461579494</v>
      </c>
    </row>
    <row r="39" spans="1:4" x14ac:dyDescent="0.3">
      <c r="A39" s="3">
        <v>2012</v>
      </c>
      <c r="B39" s="2">
        <v>96.00800066672231</v>
      </c>
      <c r="C39" s="10">
        <v>6.19</v>
      </c>
      <c r="D39">
        <f t="shared" si="0"/>
        <v>889.73834895833261</v>
      </c>
    </row>
    <row r="40" spans="1:4" x14ac:dyDescent="0.3">
      <c r="A40" s="3">
        <v>2013</v>
      </c>
      <c r="B40">
        <v>98.208184015334638</v>
      </c>
      <c r="C40" s="10">
        <v>6.31</v>
      </c>
      <c r="D40">
        <f t="shared" si="0"/>
        <v>886.66744908350279</v>
      </c>
    </row>
    <row r="41" spans="1:4" x14ac:dyDescent="0.3">
      <c r="A41" s="3">
        <v>2014</v>
      </c>
      <c r="B41">
        <v>99.633302775231286</v>
      </c>
      <c r="C41" s="10">
        <v>6.5</v>
      </c>
      <c r="D41">
        <f t="shared" si="0"/>
        <v>900.30138017565866</v>
      </c>
    </row>
    <row r="42" spans="1:4" x14ac:dyDescent="0.3">
      <c r="A42" s="3">
        <v>2015</v>
      </c>
      <c r="B42">
        <v>100</v>
      </c>
      <c r="C42" s="10">
        <v>6.7</v>
      </c>
      <c r="D42">
        <f t="shared" si="0"/>
        <v>924.6</v>
      </c>
    </row>
    <row r="43" spans="1:4" x14ac:dyDescent="0.3">
      <c r="A43" s="3">
        <v>2016</v>
      </c>
      <c r="B43">
        <v>101.0084173681141</v>
      </c>
      <c r="C43" s="10">
        <v>7.2</v>
      </c>
      <c r="D43">
        <f t="shared" si="0"/>
        <v>983.68039603960301</v>
      </c>
    </row>
    <row r="44" spans="1:4" x14ac:dyDescent="0.3">
      <c r="A44" s="3">
        <v>2017</v>
      </c>
      <c r="B44">
        <v>103.59196599716643</v>
      </c>
      <c r="C44" s="10">
        <v>7.5</v>
      </c>
      <c r="D44">
        <f t="shared" si="0"/>
        <v>999.11222847948522</v>
      </c>
    </row>
    <row r="45" spans="1:4" x14ac:dyDescent="0.3">
      <c r="A45" s="3">
        <v>2018</v>
      </c>
      <c r="B45">
        <v>105.96716393032752</v>
      </c>
      <c r="C45" s="10">
        <v>7.83</v>
      </c>
      <c r="D45">
        <f t="shared" si="0"/>
        <v>1019.6932331891467</v>
      </c>
    </row>
    <row r="46" spans="1:4" x14ac:dyDescent="0.3">
      <c r="A46" s="3">
        <v>2019</v>
      </c>
      <c r="B46">
        <v>107.80898408200682</v>
      </c>
      <c r="C46" s="10">
        <v>8.2100000000000009</v>
      </c>
      <c r="D46">
        <f t="shared" si="0"/>
        <v>1050.9142717996292</v>
      </c>
    </row>
    <row r="47" spans="1:4" x14ac:dyDescent="0.3">
      <c r="A47" s="3">
        <v>2020</v>
      </c>
      <c r="B47">
        <v>108.87573964497048</v>
      </c>
      <c r="C47" s="10">
        <v>8.7200000000000006</v>
      </c>
      <c r="D47">
        <f t="shared" si="0"/>
        <v>1105.2599999999995</v>
      </c>
    </row>
    <row r="48" spans="1:4" x14ac:dyDescent="0.3">
      <c r="A48" s="3">
        <v>2021</v>
      </c>
      <c r="B48">
        <v>111.61763480290037</v>
      </c>
      <c r="C48" s="10">
        <v>8.91</v>
      </c>
      <c r="D48">
        <f t="shared" si="0"/>
        <v>1101.6001209587087</v>
      </c>
    </row>
    <row r="49" spans="1:4" x14ac:dyDescent="0.3">
      <c r="A49" s="3">
        <v>2022</v>
      </c>
      <c r="B49">
        <v>120.46003833652806</v>
      </c>
      <c r="C49" s="10">
        <v>9.5</v>
      </c>
      <c r="D49">
        <f t="shared" si="0"/>
        <v>1088.3277293482772</v>
      </c>
    </row>
    <row r="50" spans="1:4" x14ac:dyDescent="0.3">
      <c r="A50" s="3">
        <v>2023</v>
      </c>
      <c r="B50">
        <v>128.6440536711392</v>
      </c>
      <c r="C50" s="10">
        <v>10.42</v>
      </c>
      <c r="D50">
        <f t="shared" si="0"/>
        <v>1117.7819409173367</v>
      </c>
    </row>
    <row r="51" spans="1:4" x14ac:dyDescent="0.3">
      <c r="A51" s="3">
        <v>2024</v>
      </c>
      <c r="B51">
        <v>132.85273772814401</v>
      </c>
      <c r="C51" s="10">
        <v>11.44</v>
      </c>
      <c r="D51">
        <f t="shared" si="0"/>
        <v>1188.3232720657422</v>
      </c>
    </row>
    <row r="52" spans="1:4" x14ac:dyDescent="0.3">
      <c r="A52" s="3">
        <v>2025</v>
      </c>
      <c r="B52">
        <v>138.01150095841325</v>
      </c>
      <c r="C52" s="11">
        <v>12.21</v>
      </c>
      <c r="D52">
        <f t="shared" si="0"/>
        <v>1220.8982499999995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57D90-A4EE-42DB-AABE-653D2077E88C}">
  <dimension ref="A1:M34"/>
  <sheetViews>
    <sheetView topLeftCell="A22" workbookViewId="0">
      <selection activeCell="I25" sqref="I25"/>
    </sheetView>
  </sheetViews>
  <sheetFormatPr defaultRowHeight="14.4" x14ac:dyDescent="0.3"/>
  <sheetData>
    <row r="1" spans="1:13" x14ac:dyDescent="0.3">
      <c r="A1" t="s">
        <v>9</v>
      </c>
      <c r="B1" t="s">
        <v>0</v>
      </c>
      <c r="C1" t="s">
        <v>5</v>
      </c>
      <c r="D1" t="s">
        <v>1</v>
      </c>
      <c r="E1" t="s">
        <v>2</v>
      </c>
      <c r="F1" t="s">
        <v>3</v>
      </c>
      <c r="G1" t="s">
        <v>13</v>
      </c>
      <c r="H1" t="s">
        <v>12</v>
      </c>
      <c r="I1" t="s">
        <v>7</v>
      </c>
      <c r="J1" t="s">
        <v>8</v>
      </c>
      <c r="K1" t="s">
        <v>11</v>
      </c>
      <c r="L1" t="s">
        <v>6</v>
      </c>
      <c r="M1" t="s">
        <v>4</v>
      </c>
    </row>
    <row r="2" spans="1:13" x14ac:dyDescent="0.3">
      <c r="A2">
        <v>1991</v>
      </c>
      <c r="B2">
        <f>earn!B2-AVERAGE(earn!B$2:B$34)</f>
        <v>-0.19061115699999931</v>
      </c>
      <c r="C2">
        <f>earn!C2-AVERAGE(earn!C$2:C$34)</f>
        <v>-0.18236074978787986</v>
      </c>
      <c r="D2">
        <f>earn!D2-AVERAGE(earn!D$2:D$34)</f>
        <v>-0.15024543403030144</v>
      </c>
      <c r="E2">
        <f>earn!E2-AVERAGE(earn!E$2:E$34)</f>
        <v>-0.16887100575757596</v>
      </c>
      <c r="F2">
        <f>earn!F2-AVERAGE(earn!F$2:F$34)</f>
        <v>-0.12944880672727166</v>
      </c>
      <c r="G2" t="e">
        <v>#N/A</v>
      </c>
      <c r="H2">
        <f>earn!H2-AVERAGE(earn!H$2:H$34)</f>
        <v>-0.14335356384848552</v>
      </c>
      <c r="I2">
        <f>earn!I2-AVERAGE(earn!I$2:I$34)</f>
        <v>-0.17254332300000019</v>
      </c>
      <c r="J2">
        <f>earn!J2-AVERAGE(earn!J$2:J$34)</f>
        <v>-0.22836290209090926</v>
      </c>
      <c r="K2">
        <f>earn!K2-AVERAGE(earn!K$2:K$34)</f>
        <v>-0.14469024933333241</v>
      </c>
      <c r="L2">
        <f>earn!L2-AVERAGE(earn!L$2:L$34)</f>
        <v>-0.13746352157575803</v>
      </c>
      <c r="M2">
        <f>earn!M2-AVERAGE(earn!M$2:M$34)</f>
        <v>-0.22948050521212071</v>
      </c>
    </row>
    <row r="3" spans="1:13" x14ac:dyDescent="0.3">
      <c r="A3">
        <v>1992</v>
      </c>
      <c r="B3">
        <f>earn!B3-AVERAGE(earn!B$2:B$34)</f>
        <v>-0.16688726399999965</v>
      </c>
      <c r="C3">
        <f>earn!C3-AVERAGE(earn!C$2:C$34)</f>
        <v>-0.19530087178787969</v>
      </c>
      <c r="D3">
        <f>earn!D3-AVERAGE(earn!D$2:D$34)</f>
        <v>-0.18003419703030143</v>
      </c>
      <c r="E3">
        <f>earn!E3-AVERAGE(earn!E$2:E$34)</f>
        <v>-0.11792738775757616</v>
      </c>
      <c r="F3">
        <f>earn!F3-AVERAGE(earn!F$2:F$34)</f>
        <v>-0.1533918817272717</v>
      </c>
      <c r="G3" t="e">
        <v>#N/A</v>
      </c>
      <c r="H3">
        <f>earn!H3-AVERAGE(earn!H$2:H$34)</f>
        <v>-0.20975182684848637</v>
      </c>
      <c r="I3">
        <f>earn!I3-AVERAGE(earn!I$2:I$34)</f>
        <v>-0.19974281200000021</v>
      </c>
      <c r="J3">
        <f>earn!J3-AVERAGE(earn!J$2:J$34)</f>
        <v>-0.19038979009090973</v>
      </c>
      <c r="K3">
        <f>earn!K3-AVERAGE(earn!K$2:K$34)</f>
        <v>-6.4549776333332254E-2</v>
      </c>
      <c r="L3">
        <f>earn!L3-AVERAGE(earn!L$2:L$34)</f>
        <v>-0.10844373457575784</v>
      </c>
      <c r="M3">
        <f>earn!M3-AVERAGE(earn!M$2:M$34)</f>
        <v>-0.18459594721212103</v>
      </c>
    </row>
    <row r="4" spans="1:13" x14ac:dyDescent="0.3">
      <c r="A4">
        <v>1993</v>
      </c>
      <c r="B4">
        <f>earn!B4-AVERAGE(earn!B$2:B$34)</f>
        <v>-0.18019035299999953</v>
      </c>
      <c r="C4">
        <f>earn!C4-AVERAGE(earn!C$2:C$34)</f>
        <v>-0.25251726278787956</v>
      </c>
      <c r="D4">
        <f>earn!D4-AVERAGE(earn!D$2:D$34)</f>
        <v>-0.17358519803030159</v>
      </c>
      <c r="E4">
        <f>earn!E4-AVERAGE(earn!E$2:E$34)</f>
        <v>-8.8152175757575613E-2</v>
      </c>
      <c r="F4">
        <f>earn!F4-AVERAGE(earn!F$2:F$34)</f>
        <v>-0.17339762172727191</v>
      </c>
      <c r="G4" t="e">
        <v>#N/A</v>
      </c>
      <c r="H4">
        <f>earn!H4-AVERAGE(earn!H$2:H$34)</f>
        <v>-0.18357155784848622</v>
      </c>
      <c r="I4">
        <f>earn!I4-AVERAGE(earn!I$2:I$34)</f>
        <v>-0.22284821399999988</v>
      </c>
      <c r="J4">
        <f>earn!J4-AVERAGE(earn!J$2:J$34)</f>
        <v>-0.19305384709090934</v>
      </c>
      <c r="K4">
        <f>earn!K4-AVERAGE(earn!K$2:K$34)</f>
        <v>-7.4700081333332058E-2</v>
      </c>
      <c r="L4">
        <f>earn!L4-AVERAGE(earn!L$2:L$34)</f>
        <v>-0.17438550457575808</v>
      </c>
      <c r="M4">
        <f>earn!M4-AVERAGE(earn!M$2:M$34)</f>
        <v>-0.16831049721212121</v>
      </c>
    </row>
    <row r="5" spans="1:13" x14ac:dyDescent="0.3">
      <c r="A5">
        <v>1994</v>
      </c>
      <c r="B5">
        <f>earn!B5-AVERAGE(earn!B$2:B$34)</f>
        <v>-0.20336605299999988</v>
      </c>
      <c r="C5">
        <f>earn!C5-AVERAGE(earn!C$2:C$34)</f>
        <v>-0.18990738478787961</v>
      </c>
      <c r="D5">
        <f>earn!D5-AVERAGE(earn!D$2:D$34)</f>
        <v>-0.16307625003030157</v>
      </c>
      <c r="E5">
        <f>earn!E5-AVERAGE(earn!E$2:E$34)</f>
        <v>-0.18854221475757615</v>
      </c>
      <c r="F5">
        <f>earn!F5-AVERAGE(earn!F$2:F$34)</f>
        <v>-0.13943939172727227</v>
      </c>
      <c r="G5" t="e">
        <v>#N/A</v>
      </c>
      <c r="H5">
        <f>earn!H5-AVERAGE(earn!H$2:H$34)</f>
        <v>-0.12543637584848621</v>
      </c>
      <c r="I5">
        <f>earn!I5-AVERAGE(earn!I$2:I$34)</f>
        <v>-0.24364029200000026</v>
      </c>
      <c r="J5">
        <f>earn!J5-AVERAGE(earn!J$2:J$34)</f>
        <v>-0.24274136409090996</v>
      </c>
      <c r="K5">
        <f>earn!K5-AVERAGE(earn!K$2:K$34)</f>
        <v>-5.7227096333332561E-2</v>
      </c>
      <c r="L5">
        <f>earn!L5-AVERAGE(earn!L$2:L$34)</f>
        <v>-0.13047967057575782</v>
      </c>
      <c r="M5">
        <f>earn!M5-AVERAGE(earn!M$2:M$34)</f>
        <v>-0.17848365421212087</v>
      </c>
    </row>
    <row r="6" spans="1:13" x14ac:dyDescent="0.3">
      <c r="A6">
        <v>1995</v>
      </c>
      <c r="B6">
        <f>earn!B6-AVERAGE(earn!B$2:B$34)</f>
        <v>-0.20525758099999969</v>
      </c>
      <c r="C6">
        <f>earn!C6-AVERAGE(earn!C$2:C$34)</f>
        <v>-0.17778414778787965</v>
      </c>
      <c r="D6">
        <f>earn!D6-AVERAGE(earn!D$2:D$34)</f>
        <v>-0.10365732003030104</v>
      </c>
      <c r="E6">
        <f>earn!E6-AVERAGE(earn!E$2:E$34)</f>
        <v>-0.10976143575757558</v>
      </c>
      <c r="F6">
        <f>earn!F6-AVERAGE(earn!F$2:F$34)</f>
        <v>-8.1222156727271511E-2</v>
      </c>
      <c r="G6" t="e">
        <v>#N/A</v>
      </c>
      <c r="H6">
        <f>earn!H6-AVERAGE(earn!H$2:H$34)</f>
        <v>-0.12165650984848586</v>
      </c>
      <c r="I6">
        <f>earn!I6-AVERAGE(earn!I$2:I$34)</f>
        <v>-0.19573754700000023</v>
      </c>
      <c r="J6">
        <f>earn!J6-AVERAGE(earn!J$2:J$34)</f>
        <v>-0.20795521509090964</v>
      </c>
      <c r="K6">
        <f>earn!K6-AVERAGE(earn!K$2:K$34)</f>
        <v>-4.1685188333332235E-2</v>
      </c>
      <c r="L6">
        <f>earn!L6-AVERAGE(earn!L$2:L$34)</f>
        <v>-0.14305196357575856</v>
      </c>
      <c r="M6">
        <f>earn!M6-AVERAGE(earn!M$2:M$34)</f>
        <v>-0.16427922521212057</v>
      </c>
    </row>
    <row r="7" spans="1:13" x14ac:dyDescent="0.3">
      <c r="A7">
        <v>1996</v>
      </c>
      <c r="B7">
        <f>earn!B7-AVERAGE(earn!B$2:B$34)</f>
        <v>-0.20462344899999962</v>
      </c>
      <c r="C7">
        <f>earn!C7-AVERAGE(earn!C$2:C$34)</f>
        <v>-0.15179254378787999</v>
      </c>
      <c r="D7">
        <f>earn!D7-AVERAGE(earn!D$2:D$34)</f>
        <v>-9.2500979030301522E-2</v>
      </c>
      <c r="E7">
        <f>earn!E7-AVERAGE(earn!E$2:E$34)</f>
        <v>-0.27522525675757592</v>
      </c>
      <c r="F7">
        <f>earn!F7-AVERAGE(earn!F$2:F$34)</f>
        <v>-9.3808280727271764E-2</v>
      </c>
      <c r="G7" t="e">
        <v>#N/A</v>
      </c>
      <c r="H7">
        <f>earn!H7-AVERAGE(earn!H$2:H$34)</f>
        <v>-0.14030966184848559</v>
      </c>
      <c r="I7">
        <f>earn!I7-AVERAGE(earn!I$2:I$34)</f>
        <v>-0.15716865000000002</v>
      </c>
      <c r="J7">
        <f>earn!J7-AVERAGE(earn!J$2:J$34)</f>
        <v>-0.21009944009090908</v>
      </c>
      <c r="K7">
        <f>earn!K7-AVERAGE(earn!K$2:K$34)</f>
        <v>-5.6073754333332282E-2</v>
      </c>
      <c r="L7">
        <f>earn!L7-AVERAGE(earn!L$2:L$34)</f>
        <v>-0.1271538395757581</v>
      </c>
      <c r="M7">
        <f>earn!M7-AVERAGE(earn!M$2:M$34)</f>
        <v>-0.14341736721212062</v>
      </c>
    </row>
    <row r="8" spans="1:13" x14ac:dyDescent="0.3">
      <c r="A8">
        <v>1997</v>
      </c>
      <c r="B8">
        <f>earn!B8-AVERAGE(earn!B$2:B$34)</f>
        <v>-0.13861523099999928</v>
      </c>
      <c r="C8">
        <f>earn!C8-AVERAGE(earn!C$2:C$34)</f>
        <v>-0.13745438178788039</v>
      </c>
      <c r="D8">
        <f>earn!D8-AVERAGE(earn!D$2:D$34)</f>
        <v>-0.1365368560303013</v>
      </c>
      <c r="E8">
        <f>earn!E8-AVERAGE(earn!E$2:E$34)</f>
        <v>-0.10845052075757611</v>
      </c>
      <c r="F8">
        <f>earn!F8-AVERAGE(earn!F$2:F$34)</f>
        <v>-0.10898465672727209</v>
      </c>
      <c r="G8" t="e">
        <v>#N/A</v>
      </c>
      <c r="H8">
        <f>earn!H8-AVERAGE(earn!H$2:H$34)</f>
        <v>-0.20136585384848615</v>
      </c>
      <c r="I8">
        <f>earn!I8-AVERAGE(earn!I$2:I$34)</f>
        <v>-0.17627890999999973</v>
      </c>
      <c r="J8">
        <f>earn!J8-AVERAGE(earn!J$2:J$34)</f>
        <v>-0.16511029909090968</v>
      </c>
      <c r="K8">
        <f>earn!K8-AVERAGE(earn!K$2:K$34)</f>
        <v>-0.11888696033333179</v>
      </c>
      <c r="L8">
        <f>earn!L8-AVERAGE(earn!L$2:L$34)</f>
        <v>-0.15443353557575801</v>
      </c>
      <c r="M8">
        <f>earn!M8-AVERAGE(earn!M$2:M$34)</f>
        <v>-0.13852360921212092</v>
      </c>
    </row>
    <row r="9" spans="1:13" x14ac:dyDescent="0.3">
      <c r="A9">
        <v>1998</v>
      </c>
      <c r="B9">
        <f>earn!B9-AVERAGE(earn!B$2:B$34)</f>
        <v>-0.15665710899999929</v>
      </c>
      <c r="C9">
        <f>earn!C9-AVERAGE(earn!C$2:C$34)</f>
        <v>-0.15813940078787958</v>
      </c>
      <c r="D9">
        <f>earn!D9-AVERAGE(earn!D$2:D$34)</f>
        <v>-0.11135995803030152</v>
      </c>
      <c r="E9">
        <f>earn!E9-AVERAGE(earn!E$2:E$34)</f>
        <v>-0.11658887275757568</v>
      </c>
      <c r="F9">
        <f>earn!F9-AVERAGE(earn!F$2:F$34)</f>
        <v>-0.10597314672727176</v>
      </c>
      <c r="G9" t="e">
        <v>#N/A</v>
      </c>
      <c r="H9">
        <f>earn!H9-AVERAGE(earn!H$2:H$34)</f>
        <v>-0.13283259684848581</v>
      </c>
      <c r="I9">
        <f>earn!I9-AVERAGE(earn!I$2:I$34)</f>
        <v>-0.15426837299999985</v>
      </c>
      <c r="J9">
        <f>earn!J9-AVERAGE(earn!J$2:J$34)</f>
        <v>-0.14035174609090983</v>
      </c>
      <c r="K9">
        <f>earn!K9-AVERAGE(earn!K$2:K$34)</f>
        <v>-8.9192824333331977E-2</v>
      </c>
      <c r="L9">
        <f>earn!L9-AVERAGE(earn!L$2:L$34)</f>
        <v>-0.12899033657575831</v>
      </c>
      <c r="M9">
        <f>earn!M9-AVERAGE(earn!M$2:M$34)</f>
        <v>-0.1499029762121209</v>
      </c>
    </row>
    <row r="10" spans="1:13" x14ac:dyDescent="0.3">
      <c r="A10">
        <v>1999</v>
      </c>
      <c r="B10">
        <f>earn!B10-AVERAGE(earn!B$2:B$34)</f>
        <v>-0.11482329700000005</v>
      </c>
      <c r="C10">
        <f>earn!C10-AVERAGE(earn!C$2:C$34)</f>
        <v>-8.6885050787880225E-2</v>
      </c>
      <c r="D10">
        <f>earn!D10-AVERAGE(earn!D$2:D$34)</f>
        <v>-6.7490418030301313E-2</v>
      </c>
      <c r="E10">
        <f>earn!E10-AVERAGE(earn!E$2:E$34)</f>
        <v>-3.7886807757575802E-2</v>
      </c>
      <c r="F10">
        <f>earn!F10-AVERAGE(earn!F$2:F$34)</f>
        <v>-0.11263092272727171</v>
      </c>
      <c r="G10" t="e">
        <v>#N/A</v>
      </c>
      <c r="H10">
        <f>earn!H10-AVERAGE(earn!H$2:H$34)</f>
        <v>-0.15120922984848573</v>
      </c>
      <c r="I10">
        <f>earn!I10-AVERAGE(earn!I$2:I$34)</f>
        <v>-0.10916791600000053</v>
      </c>
      <c r="J10">
        <f>earn!J10-AVERAGE(earn!J$2:J$34)</f>
        <v>-8.2325935090909574E-2</v>
      </c>
      <c r="K10">
        <f>earn!K10-AVERAGE(earn!K$2:K$34)</f>
        <v>-9.079307133333181E-2</v>
      </c>
      <c r="L10">
        <f>earn!L10-AVERAGE(earn!L$2:L$34)</f>
        <v>-4.604138457575857E-2</v>
      </c>
      <c r="M10">
        <f>earn!M10-AVERAGE(earn!M$2:M$34)</f>
        <v>-8.6701748212121288E-2</v>
      </c>
    </row>
    <row r="11" spans="1:13" x14ac:dyDescent="0.3">
      <c r="A11">
        <v>2000</v>
      </c>
      <c r="B11">
        <f>earn!B11-AVERAGE(earn!B$2:B$34)</f>
        <v>-3.2314810999999999E-2</v>
      </c>
      <c r="C11">
        <f>earn!C11-AVERAGE(earn!C$2:C$34)</f>
        <v>-6.220528078787968E-2</v>
      </c>
      <c r="D11">
        <f>earn!D11-AVERAGE(earn!D$2:D$34)</f>
        <v>-1.8500964030301326E-2</v>
      </c>
      <c r="E11">
        <f>earn!E11-AVERAGE(earn!E$2:E$34)</f>
        <v>-5.1951137575754203E-3</v>
      </c>
      <c r="F11">
        <f>earn!F11-AVERAGE(earn!F$2:F$34)</f>
        <v>-3.9605395727272175E-2</v>
      </c>
      <c r="G11" t="e">
        <v>#N/A</v>
      </c>
      <c r="H11">
        <f>earn!H11-AVERAGE(earn!H$2:H$34)</f>
        <v>-9.4662325848485551E-2</v>
      </c>
      <c r="I11">
        <f>earn!I11-AVERAGE(earn!I$2:I$34)</f>
        <v>-3.2644472000000313E-2</v>
      </c>
      <c r="J11">
        <f>earn!J11-AVERAGE(earn!J$2:J$34)</f>
        <v>-3.7004510090909548E-2</v>
      </c>
      <c r="K11">
        <f>earn!K11-AVERAGE(earn!K$2:K$34)</f>
        <v>-3.8014690333332268E-2</v>
      </c>
      <c r="L11">
        <f>earn!L11-AVERAGE(earn!L$2:L$34)</f>
        <v>-5.36521425757579E-2</v>
      </c>
      <c r="M11">
        <f>earn!M11-AVERAGE(earn!M$2:M$34)</f>
        <v>-8.7330852121212388E-3</v>
      </c>
    </row>
    <row r="12" spans="1:13" x14ac:dyDescent="0.3">
      <c r="A12">
        <v>2001</v>
      </c>
      <c r="B12">
        <f>earn!B12-AVERAGE(earn!B$2:B$34)</f>
        <v>-8.3239559999999102E-3</v>
      </c>
      <c r="C12">
        <f>earn!C12-AVERAGE(earn!C$2:C$34)</f>
        <v>-1.1661233787879866E-2</v>
      </c>
      <c r="D12">
        <f>earn!D12-AVERAGE(earn!D$2:D$34)</f>
        <v>-4.7206480303012555E-3</v>
      </c>
      <c r="E12">
        <f>earn!E12-AVERAGE(earn!E$2:E$34)</f>
        <v>5.1675162424240639E-3</v>
      </c>
      <c r="F12">
        <f>earn!F12-AVERAGE(earn!F$2:F$34)</f>
        <v>3.8324422727278318E-3</v>
      </c>
      <c r="G12">
        <f>earn!G12-AVERAGE(earn!G$12:G$34)</f>
        <v>-6.743123978260801E-2</v>
      </c>
      <c r="H12">
        <f>earn!H12-AVERAGE(earn!H$2:H$34)</f>
        <v>-5.4863419848485862E-2</v>
      </c>
      <c r="I12">
        <f>earn!I12-AVERAGE(earn!I$2:I$34)</f>
        <v>4.2803549999996804E-3</v>
      </c>
      <c r="J12">
        <f>earn!J12-AVERAGE(earn!J$2:J$34)</f>
        <v>-1.982214309090935E-2</v>
      </c>
      <c r="K12">
        <f>earn!K12-AVERAGE(earn!K$2:K$34)</f>
        <v>-2.790419733333227E-2</v>
      </c>
      <c r="L12">
        <f>earn!L12-AVERAGE(earn!L$2:L$34)</f>
        <v>-7.3008801575758397E-2</v>
      </c>
      <c r="M12">
        <f>earn!M12-AVERAGE(earn!M$2:M$34)</f>
        <v>-1.4193269212120718E-2</v>
      </c>
    </row>
    <row r="13" spans="1:13" x14ac:dyDescent="0.3">
      <c r="A13">
        <v>2002</v>
      </c>
      <c r="B13">
        <f>earn!B13-AVERAGE(earn!B$2:B$34)</f>
        <v>2.1685841000000039E-2</v>
      </c>
      <c r="C13">
        <f>earn!C13-AVERAGE(earn!C$2:C$34)</f>
        <v>3.0246206212120264E-2</v>
      </c>
      <c r="D13">
        <f>earn!D13-AVERAGE(earn!D$2:D$34)</f>
        <v>5.9154757969698935E-2</v>
      </c>
      <c r="E13">
        <f>earn!E13-AVERAGE(earn!E$2:E$34)</f>
        <v>8.0163151242424568E-2</v>
      </c>
      <c r="F13">
        <f>earn!F13-AVERAGE(earn!F$2:F$34)</f>
        <v>3.3269356272728423E-2</v>
      </c>
      <c r="G13">
        <f>earn!G13-AVERAGE(earn!G$12:G$34)</f>
        <v>-4.1711570782608121E-2</v>
      </c>
      <c r="H13">
        <f>earn!H13-AVERAGE(earn!H$2:H$34)</f>
        <v>-2.5952093848485625E-2</v>
      </c>
      <c r="I13">
        <f>earn!I13-AVERAGE(earn!I$2:I$34)</f>
        <v>8.2716781999999434E-2</v>
      </c>
      <c r="J13">
        <f>earn!J13-AVERAGE(earn!J$2:J$34)</f>
        <v>2.205240790909091E-2</v>
      </c>
      <c r="K13">
        <f>earn!K13-AVERAGE(earn!K$2:K$34)</f>
        <v>-1.1452578333331687E-2</v>
      </c>
      <c r="L13">
        <f>earn!L13-AVERAGE(earn!L$2:L$34)</f>
        <v>2.6831528424241746E-2</v>
      </c>
      <c r="M13">
        <f>earn!M13-AVERAGE(earn!M$2:M$34)</f>
        <v>7.376550178787955E-2</v>
      </c>
    </row>
    <row r="14" spans="1:13" x14ac:dyDescent="0.3">
      <c r="A14">
        <v>2003</v>
      </c>
      <c r="B14">
        <f>earn!B14-AVERAGE(earn!B$2:B$34)</f>
        <v>9.0143267000000193E-2</v>
      </c>
      <c r="C14">
        <f>earn!C14-AVERAGE(earn!C$2:C$34)</f>
        <v>8.7411414212120064E-2</v>
      </c>
      <c r="D14">
        <f>earn!D14-AVERAGE(earn!D$2:D$34)</f>
        <v>2.5664866969698608E-2</v>
      </c>
      <c r="E14">
        <f>earn!E14-AVERAGE(earn!E$2:E$34)</f>
        <v>3.4218422242424218E-2</v>
      </c>
      <c r="F14">
        <f>earn!F14-AVERAGE(earn!F$2:F$34)</f>
        <v>4.406462027272795E-2</v>
      </c>
      <c r="G14">
        <f>earn!G14-AVERAGE(earn!G$12:G$34)</f>
        <v>-6.3597130782607536E-2</v>
      </c>
      <c r="H14">
        <f>earn!H14-AVERAGE(earn!H$2:H$34)</f>
        <v>2.3428111515144678E-3</v>
      </c>
      <c r="I14">
        <f>earn!I14-AVERAGE(earn!I$2:I$34)</f>
        <v>6.9045656000000122E-2</v>
      </c>
      <c r="J14">
        <f>earn!J14-AVERAGE(earn!J$2:J$34)</f>
        <v>2.727715909090378E-3</v>
      </c>
      <c r="K14">
        <f>earn!K14-AVERAGE(earn!K$2:K$34)</f>
        <v>-2.5123705333331969E-2</v>
      </c>
      <c r="L14">
        <f>earn!L14-AVERAGE(earn!L$2:L$34)</f>
        <v>1.4215683424241732E-2</v>
      </c>
      <c r="M14">
        <f>earn!M14-AVERAGE(earn!M$2:M$34)</f>
        <v>3.4007005787879407E-2</v>
      </c>
    </row>
    <row r="15" spans="1:13" x14ac:dyDescent="0.3">
      <c r="A15">
        <v>2004</v>
      </c>
      <c r="B15">
        <f>earn!B15-AVERAGE(earn!B$2:B$34)</f>
        <v>4.33414670000003E-2</v>
      </c>
      <c r="C15">
        <f>earn!C15-AVERAGE(earn!C$2:C$34)</f>
        <v>0.14125621821211976</v>
      </c>
      <c r="D15">
        <f>earn!D15-AVERAGE(earn!D$2:D$34)</f>
        <v>0.13542779796969828</v>
      </c>
      <c r="E15">
        <f>earn!E15-AVERAGE(earn!E$2:E$34)</f>
        <v>0.10814169824242459</v>
      </c>
      <c r="F15">
        <f>earn!F15-AVERAGE(earn!F$2:F$34)</f>
        <v>4.3501612272728529E-2</v>
      </c>
      <c r="G15">
        <f>earn!G15-AVERAGE(earn!G$12:G$34)</f>
        <v>-3.2963574782607807E-2</v>
      </c>
      <c r="H15">
        <f>earn!H15-AVERAGE(earn!H$2:H$34)</f>
        <v>3.5964220151513793E-2</v>
      </c>
      <c r="I15">
        <f>earn!I15-AVERAGE(earn!I$2:I$34)</f>
        <v>7.9730656999999816E-2</v>
      </c>
      <c r="J15">
        <f>earn!J15-AVERAGE(earn!J$2:J$34)</f>
        <v>5.1597006909090304E-2</v>
      </c>
      <c r="K15">
        <f>earn!K15-AVERAGE(earn!K$2:K$34)</f>
        <v>2.7025700666667873E-2</v>
      </c>
      <c r="L15">
        <f>earn!L15-AVERAGE(earn!L$2:L$34)</f>
        <v>2.8292672424242049E-2</v>
      </c>
      <c r="M15">
        <f>earn!M15-AVERAGE(earn!M$2:M$34)</f>
        <v>3.4904985787878928E-2</v>
      </c>
    </row>
    <row r="16" spans="1:13" x14ac:dyDescent="0.3">
      <c r="A16">
        <v>2005</v>
      </c>
      <c r="B16">
        <f>earn!B16-AVERAGE(earn!B$2:B$34)</f>
        <v>8.5640103000000245E-2</v>
      </c>
      <c r="C16">
        <f>earn!C16-AVERAGE(earn!C$2:C$34)</f>
        <v>0.10133621821212024</v>
      </c>
      <c r="D16">
        <f>earn!D16-AVERAGE(earn!D$2:D$34)</f>
        <v>0.22328772396969843</v>
      </c>
      <c r="E16">
        <f>earn!E16-AVERAGE(earn!E$2:E$34)</f>
        <v>6.5883352242424031E-2</v>
      </c>
      <c r="F16">
        <f>earn!F16-AVERAGE(earn!F$2:F$34)</f>
        <v>7.4118837272727944E-2</v>
      </c>
      <c r="G16">
        <f>earn!G16-AVERAGE(earn!G$12:G$34)</f>
        <v>-7.8974278260801611E-4</v>
      </c>
      <c r="H16">
        <f>earn!H16-AVERAGE(earn!H$2:H$34)</f>
        <v>6.1090527151513641E-2</v>
      </c>
      <c r="I16">
        <f>earn!I16-AVERAGE(earn!I$2:I$34)</f>
        <v>8.4779043000000165E-2</v>
      </c>
      <c r="J16">
        <f>earn!J16-AVERAGE(earn!J$2:J$34)</f>
        <v>6.0418363909090722E-2</v>
      </c>
      <c r="K16">
        <f>earn!K16-AVERAGE(earn!K$2:K$34)</f>
        <v>2.7403373666667896E-2</v>
      </c>
      <c r="L16">
        <f>earn!L16-AVERAGE(earn!L$2:L$34)</f>
        <v>4.338401442424189E-2</v>
      </c>
      <c r="M16">
        <f>earn!M16-AVERAGE(earn!M$2:M$34)</f>
        <v>8.4924936787879268E-2</v>
      </c>
    </row>
    <row r="17" spans="1:13" x14ac:dyDescent="0.3">
      <c r="A17">
        <v>2006</v>
      </c>
      <c r="B17">
        <f>earn!B17-AVERAGE(earn!B$2:B$34)</f>
        <v>0.11284948900000025</v>
      </c>
      <c r="C17">
        <f>earn!C17-AVERAGE(earn!C$2:C$34)</f>
        <v>0.16242849421212036</v>
      </c>
      <c r="D17">
        <f>earn!D17-AVERAGE(earn!D$2:D$34)</f>
        <v>0.16950551396969882</v>
      </c>
      <c r="E17">
        <f>earn!E17-AVERAGE(earn!E$2:E$34)</f>
        <v>0.11446655124242433</v>
      </c>
      <c r="F17">
        <f>earn!F17-AVERAGE(earn!F$2:F$34)</f>
        <v>9.9418552272728E-2</v>
      </c>
      <c r="G17">
        <f>earn!G17-AVERAGE(earn!G$12:G$34)</f>
        <v>2.4045835217392231E-2</v>
      </c>
      <c r="H17">
        <f>earn!H17-AVERAGE(earn!H$2:H$34)</f>
        <v>5.8135144151513884E-2</v>
      </c>
      <c r="I17">
        <f>earn!I17-AVERAGE(earn!I$2:I$34)</f>
        <v>7.9294271000000194E-2</v>
      </c>
      <c r="J17">
        <f>earn!J17-AVERAGE(earn!J$2:J$34)</f>
        <v>7.5763860909090042E-2</v>
      </c>
      <c r="K17">
        <f>earn!K17-AVERAGE(earn!K$2:K$34)</f>
        <v>9.2943396666678169E-3</v>
      </c>
      <c r="L17">
        <f>earn!L17-AVERAGE(earn!L$2:L$34)</f>
        <v>6.3399234424241335E-2</v>
      </c>
      <c r="M17">
        <f>earn!M17-AVERAGE(earn!M$2:M$34)</f>
        <v>0.15550074078787901</v>
      </c>
    </row>
    <row r="18" spans="1:13" x14ac:dyDescent="0.3">
      <c r="A18">
        <v>2007</v>
      </c>
      <c r="B18">
        <f>earn!B18-AVERAGE(earn!B$2:B$34)</f>
        <v>0.10012556200000056</v>
      </c>
      <c r="C18">
        <f>earn!C18-AVERAGE(earn!C$2:C$34)</f>
        <v>0.18701865521212024</v>
      </c>
      <c r="D18">
        <f>earn!D18-AVERAGE(earn!D$2:D$34)</f>
        <v>0.20081151796969809</v>
      </c>
      <c r="E18">
        <f>earn!E18-AVERAGE(earn!E$2:E$34)</f>
        <v>0.18090655624242391</v>
      </c>
      <c r="F18">
        <f>earn!F18-AVERAGE(earn!F$2:F$34)</f>
        <v>0.10681504627272798</v>
      </c>
      <c r="G18">
        <f>earn!G18-AVERAGE(earn!G$12:G$34)</f>
        <v>2.0357862217392331E-2</v>
      </c>
      <c r="H18">
        <f>earn!H18-AVERAGE(earn!H$2:H$34)</f>
        <v>5.2370518151514389E-2</v>
      </c>
      <c r="I18">
        <f>earn!I18-AVERAGE(earn!I$2:I$34)</f>
        <v>9.4854370999999382E-2</v>
      </c>
      <c r="J18">
        <f>earn!J18-AVERAGE(earn!J$2:J$34)</f>
        <v>0.12628658390909031</v>
      </c>
      <c r="K18">
        <f>earn!K18-AVERAGE(earn!K$2:K$34)</f>
        <v>3.2044379666667844E-2</v>
      </c>
      <c r="L18">
        <f>earn!L18-AVERAGE(earn!L$2:L$34)</f>
        <v>3.9742966424241466E-2</v>
      </c>
      <c r="M18">
        <f>earn!M18-AVERAGE(earn!M$2:M$34)</f>
        <v>0.14172764678787875</v>
      </c>
    </row>
    <row r="19" spans="1:13" x14ac:dyDescent="0.3">
      <c r="A19">
        <v>2008</v>
      </c>
      <c r="B19">
        <f>earn!B19-AVERAGE(earn!B$2:B$34)</f>
        <v>2.8222697000000352E-2</v>
      </c>
      <c r="C19">
        <f>earn!C19-AVERAGE(earn!C$2:C$34)</f>
        <v>9.9648102212119838E-2</v>
      </c>
      <c r="D19">
        <f>earn!D19-AVERAGE(earn!D$2:D$34)</f>
        <v>0.20515496996969862</v>
      </c>
      <c r="E19">
        <f>earn!E19-AVERAGE(earn!E$2:E$34)</f>
        <v>0.13231097024242455</v>
      </c>
      <c r="F19">
        <f>earn!F19-AVERAGE(earn!F$2:F$34)</f>
        <v>0.12049816727272766</v>
      </c>
      <c r="G19">
        <f>earn!G19-AVERAGE(earn!G$12:G$34)</f>
        <v>1.1067450217391972E-2</v>
      </c>
      <c r="H19">
        <f>earn!H19-AVERAGE(earn!H$2:H$34)</f>
        <v>8.0820374151514329E-2</v>
      </c>
      <c r="I19">
        <f>earn!I19-AVERAGE(earn!I$2:I$34)</f>
        <v>4.7730125000000179E-2</v>
      </c>
      <c r="J19">
        <f>earn!J19-AVERAGE(earn!J$2:J$34)</f>
        <v>9.1678332909090443E-2</v>
      </c>
      <c r="K19">
        <f>earn!K19-AVERAGE(earn!K$2:K$34)</f>
        <v>6.5045001666668156E-2</v>
      </c>
      <c r="L19">
        <f>earn!L19-AVERAGE(earn!L$2:L$34)</f>
        <v>0.1042815374242414</v>
      </c>
      <c r="M19">
        <f>earn!M19-AVERAGE(earn!M$2:M$34)</f>
        <v>0.10837210378787887</v>
      </c>
    </row>
    <row r="20" spans="1:13" x14ac:dyDescent="0.3">
      <c r="A20">
        <v>2009</v>
      </c>
      <c r="B20">
        <f>earn!B20-AVERAGE(earn!B$2:B$34)</f>
        <v>6.8773320000000027E-2</v>
      </c>
      <c r="C20">
        <f>earn!C20-AVERAGE(earn!C$2:C$34)</f>
        <v>3.6545990212119683E-2</v>
      </c>
      <c r="D20">
        <f>earn!D20-AVERAGE(earn!D$2:D$34)</f>
        <v>1.2200643969698888E-2</v>
      </c>
      <c r="E20">
        <f>earn!E20-AVERAGE(earn!E$2:E$34)</f>
        <v>-1.4755289757576229E-2</v>
      </c>
      <c r="F20">
        <f>earn!F20-AVERAGE(earn!F$2:F$34)</f>
        <v>4.8942011272727903E-2</v>
      </c>
      <c r="G20">
        <f>earn!G20-AVERAGE(earn!G$12:G$34)</f>
        <v>3.0863190217392145E-2</v>
      </c>
      <c r="H20">
        <f>earn!H20-AVERAGE(earn!H$2:H$34)</f>
        <v>6.1606271151513958E-2</v>
      </c>
      <c r="I20">
        <f>earn!I20-AVERAGE(earn!I$2:I$34)</f>
        <v>8.0946507000000167E-2</v>
      </c>
      <c r="J20">
        <f>earn!J20-AVERAGE(earn!J$2:J$34)</f>
        <v>7.0463009909090601E-2</v>
      </c>
      <c r="K20">
        <f>earn!K20-AVERAGE(earn!K$2:K$34)</f>
        <v>3.011093366666806E-2</v>
      </c>
      <c r="L20">
        <f>earn!L20-AVERAGE(earn!L$2:L$34)</f>
        <v>4.0130582424241723E-2</v>
      </c>
      <c r="M20">
        <f>earn!M20-AVERAGE(earn!M$2:M$34)</f>
        <v>2.8317599787879288E-2</v>
      </c>
    </row>
    <row r="21" spans="1:13" x14ac:dyDescent="0.3">
      <c r="A21">
        <v>2010</v>
      </c>
      <c r="B21">
        <f>earn!B21-AVERAGE(earn!B$2:B$34)</f>
        <v>7.9940214000000509E-2</v>
      </c>
      <c r="C21">
        <f>earn!C21-AVERAGE(earn!C$2:C$34)</f>
        <v>5.0821267212119992E-2</v>
      </c>
      <c r="D21">
        <f>earn!D21-AVERAGE(earn!D$2:D$34)</f>
        <v>-1.2145993030301838E-2</v>
      </c>
      <c r="E21">
        <f>earn!E21-AVERAGE(earn!E$2:E$34)</f>
        <v>5.4784305242423947E-2</v>
      </c>
      <c r="F21">
        <f>earn!F21-AVERAGE(earn!F$2:F$34)</f>
        <v>5.4113220272728135E-2</v>
      </c>
      <c r="G21">
        <f>earn!G21-AVERAGE(earn!G$12:G$34)</f>
        <v>-2.2092487826075313E-3</v>
      </c>
      <c r="H21">
        <f>earn!H21-AVERAGE(earn!H$2:H$34)</f>
        <v>5.5155338151513966E-2</v>
      </c>
      <c r="I21">
        <f>earn!I21-AVERAGE(earn!I$2:I$34)</f>
        <v>7.2604666000000151E-2</v>
      </c>
      <c r="J21">
        <f>earn!J21-AVERAGE(earn!J$2:J$34)</f>
        <v>5.8697315909090442E-2</v>
      </c>
      <c r="K21">
        <f>earn!K21-AVERAGE(earn!K$2:K$34)</f>
        <v>2.3822390666667914E-2</v>
      </c>
      <c r="L21">
        <f>earn!L21-AVERAGE(earn!L$2:L$34)</f>
        <v>5.1015372424242145E-2</v>
      </c>
      <c r="M21">
        <f>earn!M21-AVERAGE(earn!M$2:M$34)</f>
        <v>5.2489348787879031E-2</v>
      </c>
    </row>
    <row r="22" spans="1:13" x14ac:dyDescent="0.3">
      <c r="A22">
        <v>2011</v>
      </c>
      <c r="B22">
        <f>earn!B22-AVERAGE(earn!B$2:B$34)</f>
        <v>5.3768397000000689E-2</v>
      </c>
      <c r="C22">
        <f>earn!C22-AVERAGE(earn!C$2:C$34)</f>
        <v>1.2053142121200011E-3</v>
      </c>
      <c r="D22">
        <f>earn!D22-AVERAGE(earn!D$2:D$34)</f>
        <v>-3.4640410303010682E-3</v>
      </c>
      <c r="E22">
        <f>earn!E22-AVERAGE(earn!E$2:E$34)</f>
        <v>1.6948084242423889E-2</v>
      </c>
      <c r="F22">
        <f>earn!F22-AVERAGE(earn!F$2:F$34)</f>
        <v>2.7960418272727772E-2</v>
      </c>
      <c r="G22">
        <f>earn!G22-AVERAGE(earn!G$12:G$34)</f>
        <v>1.8792714217392259E-2</v>
      </c>
      <c r="H22">
        <f>earn!H22-AVERAGE(earn!H$2:H$34)</f>
        <v>5.3000914151514422E-2</v>
      </c>
      <c r="I22">
        <f>earn!I22-AVERAGE(earn!I$2:I$34)</f>
        <v>6.7437742000000078E-2</v>
      </c>
      <c r="J22">
        <f>earn!J22-AVERAGE(earn!J$2:J$34)</f>
        <v>7.8017124909090185E-2</v>
      </c>
      <c r="K22">
        <f>earn!K22-AVERAGE(earn!K$2:K$34)</f>
        <v>1.6446461666667744E-2</v>
      </c>
      <c r="L22">
        <f>earn!L22-AVERAGE(earn!L$2:L$34)</f>
        <v>4.7712505424241769E-2</v>
      </c>
      <c r="M22">
        <f>earn!M22-AVERAGE(earn!M$2:M$34)</f>
        <v>3.2822799787878942E-2</v>
      </c>
    </row>
    <row r="23" spans="1:13" x14ac:dyDescent="0.3">
      <c r="A23">
        <v>2012</v>
      </c>
      <c r="B23">
        <f>earn!B23-AVERAGE(earn!B$2:B$34)</f>
        <v>1.8672678000000609E-2</v>
      </c>
      <c r="C23">
        <f>earn!C23-AVERAGE(earn!C$2:C$34)</f>
        <v>-1.076573978787998E-2</v>
      </c>
      <c r="D23">
        <f>earn!D23-AVERAGE(earn!D$2:D$34)</f>
        <v>-3.6168344030301114E-2</v>
      </c>
      <c r="E23">
        <f>earn!E23-AVERAGE(earn!E$2:E$34)</f>
        <v>-2.6398751757575667E-2</v>
      </c>
      <c r="F23">
        <f>earn!F23-AVERAGE(earn!F$2:F$34)</f>
        <v>4.1377680272727702E-2</v>
      </c>
      <c r="G23">
        <f>earn!G23-AVERAGE(earn!G$12:G$34)</f>
        <v>-1.2342487782607492E-2</v>
      </c>
      <c r="H23">
        <f>earn!H23-AVERAGE(earn!H$2:H$34)</f>
        <v>4.9461202151514172E-2</v>
      </c>
      <c r="I23">
        <f>earn!I23-AVERAGE(earn!I$2:I$34)</f>
        <v>3.8202928999999664E-2</v>
      </c>
      <c r="J23">
        <f>earn!J23-AVERAGE(earn!J$2:J$34)</f>
        <v>5.261028190909034E-2</v>
      </c>
      <c r="K23">
        <f>earn!K23-AVERAGE(earn!K$2:K$34)</f>
        <v>-8.9603823333321841E-3</v>
      </c>
      <c r="L23">
        <f>earn!L23-AVERAGE(earn!L$2:L$34)</f>
        <v>3.4227582424241731E-2</v>
      </c>
      <c r="M23">
        <f>earn!M23-AVERAGE(earn!M$2:M$34)</f>
        <v>-9.6421212121278188E-5</v>
      </c>
    </row>
    <row r="24" spans="1:13" x14ac:dyDescent="0.3">
      <c r="A24">
        <v>2013</v>
      </c>
      <c r="B24">
        <f>earn!B24-AVERAGE(earn!B$2:B$34)</f>
        <v>-7.4160379999996806E-3</v>
      </c>
      <c r="C24">
        <f>earn!C24-AVERAGE(earn!C$2:C$34)</f>
        <v>2.2076209212119835E-2</v>
      </c>
      <c r="D24">
        <f>earn!D24-AVERAGE(earn!D$2:D$34)</f>
        <v>-3.4401816030301902E-2</v>
      </c>
      <c r="E24">
        <f>earn!E24-AVERAGE(earn!E$2:E$34)</f>
        <v>-1.7326100757576235E-2</v>
      </c>
      <c r="F24">
        <f>earn!F24-AVERAGE(earn!F$2:F$34)</f>
        <v>-6.9828927272714836E-3</v>
      </c>
      <c r="G24">
        <f>earn!G24-AVERAGE(earn!G$12:G$34)</f>
        <v>-1.0989597826078779E-3</v>
      </c>
      <c r="H24">
        <f>earn!H24-AVERAGE(earn!H$2:H$34)</f>
        <v>3.0913667151514446E-2</v>
      </c>
      <c r="I24">
        <f>earn!I24-AVERAGE(earn!I$2:I$34)</f>
        <v>3.2748961000000243E-2</v>
      </c>
      <c r="J24">
        <f>earn!J24-AVERAGE(earn!J$2:J$34)</f>
        <v>2.9952257909090285E-2</v>
      </c>
      <c r="K24">
        <f>earn!K24-AVERAGE(earn!K$2:K$34)</f>
        <v>-3.1618406333332238E-2</v>
      </c>
      <c r="L24">
        <f>earn!L24-AVERAGE(earn!L$2:L$34)</f>
        <v>1.7587631424241579E-2</v>
      </c>
      <c r="M24">
        <f>earn!M24-AVERAGE(earn!M$2:M$34)</f>
        <v>-2.4669362121212401E-3</v>
      </c>
    </row>
    <row r="25" spans="1:13" x14ac:dyDescent="0.3">
      <c r="A25">
        <v>2014</v>
      </c>
      <c r="B25">
        <f>earn!B25-AVERAGE(earn!B$2:B$34)</f>
        <v>5.825818699999985E-2</v>
      </c>
      <c r="C25">
        <f>earn!C25-AVERAGE(earn!C$2:C$34)</f>
        <v>8.2756822121199392E-3</v>
      </c>
      <c r="D25">
        <f>earn!D25-AVERAGE(earn!D$2:D$34)</f>
        <v>-8.4283126030301858E-2</v>
      </c>
      <c r="E25">
        <f>earn!E25-AVERAGE(earn!E$2:E$34)</f>
        <v>1.9014816242424182E-2</v>
      </c>
      <c r="F25">
        <f>earn!F25-AVERAGE(earn!F$2:F$34)</f>
        <v>1.9157109272728512E-2</v>
      </c>
      <c r="G25">
        <f>earn!G25-AVERAGE(earn!G$12:G$34)</f>
        <v>-1.5505881782607922E-2</v>
      </c>
      <c r="H25">
        <f>earn!H25-AVERAGE(earn!H$2:H$34)</f>
        <v>3.7301193151513701E-2</v>
      </c>
      <c r="I25">
        <f>earn!I25-AVERAGE(earn!I$2:I$34)</f>
        <v>5.1327727999999517E-2</v>
      </c>
      <c r="J25">
        <f>earn!J25-AVERAGE(earn!J$2:J$34)</f>
        <v>2.1461152909090231E-2</v>
      </c>
      <c r="K25">
        <f>earn!K25-AVERAGE(earn!K$2:K$34)</f>
        <v>2.2967543666667645E-2</v>
      </c>
      <c r="L25">
        <f>earn!L25-AVERAGE(earn!L$2:L$34)</f>
        <v>-1.5819157575780451E-4</v>
      </c>
      <c r="M25">
        <f>earn!M25-AVERAGE(earn!M$2:M$34)</f>
        <v>-4.143598212120736E-3</v>
      </c>
    </row>
    <row r="26" spans="1:13" x14ac:dyDescent="0.3">
      <c r="A26">
        <v>2015</v>
      </c>
      <c r="B26">
        <f>earn!B26-AVERAGE(earn!B$2:B$34)</f>
        <v>3.6773682999999835E-2</v>
      </c>
      <c r="C26">
        <f>earn!C26-AVERAGE(earn!C$2:C$34)</f>
        <v>2.6259237212119757E-2</v>
      </c>
      <c r="D26">
        <f>earn!D26-AVERAGE(earn!D$2:D$34)</f>
        <v>-4.6178435030301834E-2</v>
      </c>
      <c r="E26">
        <f>earn!E26-AVERAGE(earn!E$2:E$34)</f>
        <v>-4.9197416757575496E-2</v>
      </c>
      <c r="F26">
        <f>earn!F26-AVERAGE(earn!F$2:F$34)</f>
        <v>-1.1939759727272126E-2</v>
      </c>
      <c r="G26">
        <f>earn!G26-AVERAGE(earn!G$12:G$34)</f>
        <v>-1.9179593782607363E-2</v>
      </c>
      <c r="H26">
        <f>earn!H26-AVERAGE(earn!H$2:H$34)</f>
        <v>4.6410629151513838E-2</v>
      </c>
      <c r="I26">
        <f>earn!I26-AVERAGE(earn!I$2:I$34)</f>
        <v>5.4622685000000004E-2</v>
      </c>
      <c r="J26">
        <f>earn!J26-AVERAGE(earn!J$2:J$34)</f>
        <v>2.060997890909011E-2</v>
      </c>
      <c r="K26">
        <f>earn!K26-AVERAGE(earn!K$2:K$34)</f>
        <v>2.1420935666667695E-2</v>
      </c>
      <c r="L26">
        <f>earn!L26-AVERAGE(earn!L$2:L$34)</f>
        <v>-4.9300257575790596E-4</v>
      </c>
      <c r="M26">
        <f>earn!M26-AVERAGE(earn!M$2:M$34)</f>
        <v>1.7500497787879432E-2</v>
      </c>
    </row>
    <row r="27" spans="1:13" x14ac:dyDescent="0.3">
      <c r="A27">
        <v>2016</v>
      </c>
      <c r="B27">
        <f>earn!B27-AVERAGE(earn!B$2:B$34)</f>
        <v>8.2252696000000292E-2</v>
      </c>
      <c r="C27">
        <f>earn!C27-AVERAGE(earn!C$2:C$34)</f>
        <v>5.0077528212120193E-2</v>
      </c>
      <c r="D27">
        <f>earn!D27-AVERAGE(earn!D$2:D$34)</f>
        <v>1.4474769696981582E-3</v>
      </c>
      <c r="E27">
        <f>earn!E27-AVERAGE(earn!E$2:E$34)</f>
        <v>3.9104634242423941E-2</v>
      </c>
      <c r="F27">
        <f>earn!F27-AVERAGE(earn!F$2:F$34)</f>
        <v>-9.0037817272721199E-3</v>
      </c>
      <c r="G27">
        <f>earn!G27-AVERAGE(earn!G$12:G$34)</f>
        <v>-1.8161198782607357E-2</v>
      </c>
      <c r="H27">
        <f>earn!H27-AVERAGE(earn!H$2:H$34)</f>
        <v>7.6907337151514099E-2</v>
      </c>
      <c r="I27">
        <f>earn!I27-AVERAGE(earn!I$2:I$34)</f>
        <v>6.2936313999999882E-2</v>
      </c>
      <c r="J27">
        <f>earn!J27-AVERAGE(earn!J$2:J$34)</f>
        <v>7.643202790909065E-2</v>
      </c>
      <c r="K27">
        <f>earn!K27-AVERAGE(earn!K$2:K$34)</f>
        <v>6.3353700666668011E-2</v>
      </c>
      <c r="L27">
        <f>earn!L27-AVERAGE(earn!L$2:L$34)</f>
        <v>4.3538418424241776E-2</v>
      </c>
      <c r="M27">
        <f>earn!M27-AVERAGE(earn!M$2:M$34)</f>
        <v>9.6045177878787413E-3</v>
      </c>
    </row>
    <row r="28" spans="1:13" x14ac:dyDescent="0.3">
      <c r="A28">
        <v>2017</v>
      </c>
      <c r="B28">
        <f>earn!B28-AVERAGE(earn!B$2:B$34)</f>
        <v>5.6996771000000557E-2</v>
      </c>
      <c r="C28">
        <f>earn!C28-AVERAGE(earn!C$2:C$34)</f>
        <v>3.3244504212119885E-2</v>
      </c>
      <c r="D28">
        <f>earn!D28-AVERAGE(earn!D$2:D$34)</f>
        <v>-1.8526144030301062E-2</v>
      </c>
      <c r="E28">
        <f>earn!E28-AVERAGE(earn!E$2:E$34)</f>
        <v>4.0281912242424056E-2</v>
      </c>
      <c r="F28">
        <f>earn!F28-AVERAGE(earn!F$2:F$34)</f>
        <v>-9.3327617272720431E-3</v>
      </c>
      <c r="G28">
        <f>earn!G28-AVERAGE(earn!G$12:G$34)</f>
        <v>-3.8707675782607254E-2</v>
      </c>
      <c r="H28">
        <f>earn!H28-AVERAGE(earn!H$2:H$34)</f>
        <v>7.1638872151513766E-2</v>
      </c>
      <c r="I28">
        <f>earn!I28-AVERAGE(earn!I$2:I$34)</f>
        <v>1.9333092000000107E-2</v>
      </c>
      <c r="J28">
        <f>earn!J28-AVERAGE(earn!J$2:J$34)</f>
        <v>7.4313519909090076E-2</v>
      </c>
      <c r="K28">
        <f>earn!K28-AVERAGE(earn!K$2:K$34)</f>
        <v>7.2844436666681389E-3</v>
      </c>
      <c r="L28">
        <f>earn!L28-AVERAGE(earn!L$2:L$34)</f>
        <v>2.8755926424241629E-2</v>
      </c>
      <c r="M28">
        <f>earn!M28-AVERAGE(earn!M$2:M$34)</f>
        <v>2.1431618787879358E-2</v>
      </c>
    </row>
    <row r="29" spans="1:13" x14ac:dyDescent="0.3">
      <c r="A29">
        <v>2018</v>
      </c>
      <c r="B29">
        <f>earn!B29-AVERAGE(earn!B$2:B$34)</f>
        <v>3.4327278000000128E-2</v>
      </c>
      <c r="C29">
        <f>earn!C29-AVERAGE(earn!C$2:C$34)</f>
        <v>4.5033494212120218E-2</v>
      </c>
      <c r="D29">
        <f>earn!D29-AVERAGE(earn!D$2:D$34)</f>
        <v>-4.0555408030301443E-2</v>
      </c>
      <c r="E29">
        <f>earn!E29-AVERAGE(earn!E$2:E$34)</f>
        <v>3.742277824242457E-2</v>
      </c>
      <c r="F29">
        <f>earn!F29-AVERAGE(earn!F$2:F$34)</f>
        <v>2.1970871272728232E-2</v>
      </c>
      <c r="G29">
        <f>earn!G29-AVERAGE(earn!G$12:G$34)</f>
        <v>-5.1013751782607919E-2</v>
      </c>
      <c r="H29">
        <f>earn!H29-AVERAGE(earn!H$2:H$34)</f>
        <v>8.0038924151514479E-2</v>
      </c>
      <c r="I29">
        <f>earn!I29-AVERAGE(earn!I$2:I$34)</f>
        <v>5.3883738999999764E-2</v>
      </c>
      <c r="J29">
        <f>earn!J29-AVERAGE(earn!J$2:J$34)</f>
        <v>7.3187804909090381E-2</v>
      </c>
      <c r="K29">
        <f>earn!K29-AVERAGE(earn!K$2:K$34)</f>
        <v>4.1377453666667563E-2</v>
      </c>
      <c r="L29">
        <f>earn!L29-AVERAGE(earn!L$2:L$34)</f>
        <v>4.5979993424241528E-2</v>
      </c>
      <c r="M29">
        <f>earn!M29-AVERAGE(earn!M$2:M$34)</f>
        <v>2.4079932787879343E-2</v>
      </c>
    </row>
    <row r="30" spans="1:13" x14ac:dyDescent="0.3">
      <c r="A30">
        <v>2019</v>
      </c>
      <c r="B30">
        <f>earn!B30-AVERAGE(earn!B$2:B$34)</f>
        <v>7.1162776000000427E-2</v>
      </c>
      <c r="C30">
        <f>earn!C30-AVERAGE(earn!C$2:C$34)</f>
        <v>7.3384046212120246E-2</v>
      </c>
      <c r="D30">
        <f>earn!D30-AVERAGE(earn!D$2:D$34)</f>
        <v>2.2257077969698891E-2</v>
      </c>
      <c r="E30">
        <f>earn!E30-AVERAGE(earn!E$2:E$34)</f>
        <v>2.9762454242423964E-2</v>
      </c>
      <c r="F30">
        <f>earn!F30-AVERAGE(earn!F$2:F$34)</f>
        <v>4.0378180272727882E-2</v>
      </c>
      <c r="G30">
        <f>earn!G30-AVERAGE(earn!G$12:G$34)</f>
        <v>6.6597142173927537E-3</v>
      </c>
      <c r="H30">
        <f>earn!H30-AVERAGE(earn!H$2:H$34)</f>
        <v>0.13652835315151446</v>
      </c>
      <c r="I30">
        <f>earn!I30-AVERAGE(earn!I$2:I$34)</f>
        <v>8.4792390999999689E-2</v>
      </c>
      <c r="J30">
        <f>earn!J30-AVERAGE(earn!J$2:J$34)</f>
        <v>0.10618252990909038</v>
      </c>
      <c r="K30">
        <f>earn!K30-AVERAGE(earn!K$2:K$34)</f>
        <v>6.8701322666667508E-2</v>
      </c>
      <c r="L30">
        <f>earn!L30-AVERAGE(earn!L$2:L$34)</f>
        <v>9.2304412424241811E-2</v>
      </c>
      <c r="M30">
        <f>earn!M30-AVERAGE(earn!M$2:M$34)</f>
        <v>8.6888968787879328E-2</v>
      </c>
    </row>
    <row r="31" spans="1:13" x14ac:dyDescent="0.3">
      <c r="A31">
        <v>2020</v>
      </c>
      <c r="B31">
        <f>earn!B31-AVERAGE(earn!B$2:B$34)</f>
        <v>0.11260983699999993</v>
      </c>
      <c r="C31">
        <f>earn!C31-AVERAGE(earn!C$2:C$34)</f>
        <v>0.10128008921212039</v>
      </c>
      <c r="D31">
        <f>earn!D31-AVERAGE(earn!D$2:D$34)</f>
        <v>7.0013250969698682E-2</v>
      </c>
      <c r="E31">
        <f>earn!E31-AVERAGE(earn!E$2:E$34)</f>
        <v>4.8087097242424548E-2</v>
      </c>
      <c r="F31">
        <f>earn!F31-AVERAGE(earn!F$2:F$34)</f>
        <v>0.11706837027272776</v>
      </c>
      <c r="G31">
        <f>earn!G31-AVERAGE(earn!G$12:G$34)</f>
        <v>4.0362644217392329E-2</v>
      </c>
      <c r="H31">
        <f>earn!H31-AVERAGE(earn!H$2:H$34)</f>
        <v>0.13543535515151373</v>
      </c>
      <c r="I31">
        <f>earn!I31-AVERAGE(earn!I$2:I$34)</f>
        <v>8.7368677999999811E-2</v>
      </c>
      <c r="J31">
        <f>earn!J31-AVERAGE(earn!J$2:J$34)</f>
        <v>0.1152486519090905</v>
      </c>
      <c r="K31">
        <f>earn!K31-AVERAGE(earn!K$2:K$34)</f>
        <v>0.11657834566666825</v>
      </c>
      <c r="L31">
        <f>earn!L31-AVERAGE(earn!L$2:L$34)</f>
        <v>0.10270734142424143</v>
      </c>
      <c r="M31">
        <f>earn!M31-AVERAGE(earn!M$2:M$34)</f>
        <v>0.13130337378787882</v>
      </c>
    </row>
    <row r="32" spans="1:13" x14ac:dyDescent="0.3">
      <c r="A32">
        <v>2021</v>
      </c>
      <c r="B32">
        <f>earn!B32-AVERAGE(earn!B$2:B$34)</f>
        <v>0.13652817400000039</v>
      </c>
      <c r="C32">
        <f>earn!C32-AVERAGE(earn!C$2:C$34)</f>
        <v>0.13047548421211985</v>
      </c>
      <c r="D32">
        <f>earn!D32-AVERAGE(earn!D$2:D$34)</f>
        <v>0.13056433096969844</v>
      </c>
      <c r="E32">
        <f>earn!E32-AVERAGE(earn!E$2:E$34)</f>
        <v>0.10325797824242411</v>
      </c>
      <c r="F32">
        <f>earn!F32-AVERAGE(earn!F$2:F$34)</f>
        <v>0.11486255727272798</v>
      </c>
      <c r="G32">
        <f>earn!G32-AVERAGE(earn!G$12:G$34)</f>
        <v>5.3233093217392558E-2</v>
      </c>
      <c r="H32">
        <f>earn!H32-AVERAGE(earn!H$2:H$34)</f>
        <v>0.15935369215151418</v>
      </c>
      <c r="I32">
        <f>earn!I32-AVERAGE(earn!I$2:I$34)</f>
        <v>0.12758338999999985</v>
      </c>
      <c r="J32">
        <f>earn!J32-AVERAGE(earn!J$2:J$34)</f>
        <v>0.1648140549090904</v>
      </c>
      <c r="K32">
        <f>earn!K32-AVERAGE(earn!K$2:K$34)</f>
        <v>0.12583952566666756</v>
      </c>
      <c r="L32">
        <f>earn!L32-AVERAGE(earn!L$2:L$34)</f>
        <v>0.15294859242424153</v>
      </c>
      <c r="M32">
        <f>earn!M32-AVERAGE(earn!M$2:M$34)</f>
        <v>0.16837003778787896</v>
      </c>
    </row>
    <row r="33" spans="1:13" x14ac:dyDescent="0.3">
      <c r="A33">
        <v>2022</v>
      </c>
      <c r="B33">
        <f>earn!B33-AVERAGE(earn!B$2:B$34)</f>
        <v>0.14850264200000041</v>
      </c>
      <c r="C33">
        <f>earn!C33-AVERAGE(earn!C$2:C$34)</f>
        <v>0.10552976821212035</v>
      </c>
      <c r="D33">
        <f>earn!D33-AVERAGE(earn!D$2:D$34)</f>
        <v>0.1154904659696987</v>
      </c>
      <c r="E33">
        <f>earn!E33-AVERAGE(earn!E$2:E$34)</f>
        <v>0.10323911324242374</v>
      </c>
      <c r="F33">
        <f>earn!F33-AVERAGE(earn!F$2:F$34)</f>
        <v>8.6546943272727717E-2</v>
      </c>
      <c r="G33">
        <f>earn!G33-AVERAGE(earn!G$12:G$34)</f>
        <v>8.2354599217392632E-2</v>
      </c>
      <c r="H33">
        <f>earn!H33-AVERAGE(earn!H$2:H$34)</f>
        <v>0.14943732515151442</v>
      </c>
      <c r="I33">
        <f>earn!I33-AVERAGE(earn!I$2:I$34)</f>
        <v>0.15615687699999992</v>
      </c>
      <c r="J33">
        <f>earn!J33-AVERAGE(earn!J$2:J$34)</f>
        <v>0.16075102390909013</v>
      </c>
      <c r="K33">
        <f>earn!K33-AVERAGE(earn!K$2:K$34)</f>
        <v>7.8270171666668276E-2</v>
      </c>
      <c r="L33">
        <f>earn!L33-AVERAGE(earn!L$2:L$34)</f>
        <v>0.14983135442424178</v>
      </c>
      <c r="M33">
        <f>earn!M33-AVERAGE(earn!M$2:M$34)</f>
        <v>0.12402223178787875</v>
      </c>
    </row>
    <row r="34" spans="1:13" x14ac:dyDescent="0.3">
      <c r="A34">
        <v>2023</v>
      </c>
      <c r="B34">
        <f>earn!B34-AVERAGE(earn!B$2:B$34)</f>
        <v>0.16851122000000007</v>
      </c>
      <c r="C34">
        <f>earn!C34-AVERAGE(earn!C$2:C$34)</f>
        <v>0.12322012521211967</v>
      </c>
      <c r="D34">
        <f>earn!D34-AVERAGE(earn!D$2:D$34)</f>
        <v>0.1064511339696983</v>
      </c>
      <c r="E34">
        <f>earn!E34-AVERAGE(earn!E$2:E$34)</f>
        <v>0.11111695924242415</v>
      </c>
      <c r="F34">
        <f>earn!F34-AVERAGE(earn!F$2:F$34)</f>
        <v>7.7265461272728153E-2</v>
      </c>
      <c r="G34">
        <f>earn!G34-AVERAGE(earn!G$12:G$34)</f>
        <v>7.6974954217392089E-2</v>
      </c>
      <c r="H34">
        <f>earn!H34-AVERAGE(earn!H$2:H$34)</f>
        <v>0.15105234715151372</v>
      </c>
      <c r="I34">
        <f>earn!I34-AVERAGE(earn!I$2:I$34)</f>
        <v>0.13166354999999985</v>
      </c>
      <c r="J34">
        <f>earn!J34-AVERAGE(earn!J$2:J$34)</f>
        <v>0.18395218390909029</v>
      </c>
      <c r="K34">
        <f>earn!K34-AVERAGE(earn!K$2:K$34)</f>
        <v>0.10388693766666801</v>
      </c>
      <c r="L34">
        <f>earn!L34-AVERAGE(earn!L$2:L$34)</f>
        <v>0.15086827942424197</v>
      </c>
      <c r="M34">
        <f>earn!M34-AVERAGE(earn!M$2:M$34)</f>
        <v>0.14329499078787933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B320F-88D0-42EF-952F-9848A1E49B29}">
  <dimension ref="A1:B13"/>
  <sheetViews>
    <sheetView workbookViewId="0">
      <selection activeCell="B8" sqref="B8"/>
    </sheetView>
  </sheetViews>
  <sheetFormatPr defaultRowHeight="14.4" x14ac:dyDescent="0.3"/>
  <sheetData>
    <row r="1" spans="1:2" x14ac:dyDescent="0.3">
      <c r="A1" t="s">
        <v>14</v>
      </c>
      <c r="B1" t="s">
        <v>16</v>
      </c>
    </row>
    <row r="2" spans="1:2" x14ac:dyDescent="0.3">
      <c r="A2" t="s">
        <v>0</v>
      </c>
      <c r="B2">
        <v>7.4032555799999997</v>
      </c>
    </row>
    <row r="3" spans="1:2" x14ac:dyDescent="0.3">
      <c r="A3" t="s">
        <v>5</v>
      </c>
      <c r="B3">
        <v>7.30922481178788</v>
      </c>
    </row>
    <row r="4" spans="1:2" x14ac:dyDescent="0.3">
      <c r="A4" t="s">
        <v>1</v>
      </c>
      <c r="B4">
        <v>7.5834987820303015</v>
      </c>
    </row>
    <row r="5" spans="1:2" x14ac:dyDescent="0.3">
      <c r="A5" t="s">
        <v>2</v>
      </c>
      <c r="B5">
        <v>7.3624178037575758</v>
      </c>
    </row>
    <row r="6" spans="1:2" x14ac:dyDescent="0.3">
      <c r="A6" t="s">
        <v>3</v>
      </c>
      <c r="B6">
        <v>7.3518020777272719</v>
      </c>
    </row>
    <row r="7" spans="1:2" x14ac:dyDescent="0.3">
      <c r="A7" t="s">
        <v>13</v>
      </c>
      <c r="B7">
        <v>7.3323999807826077</v>
      </c>
    </row>
    <row r="8" spans="1:2" x14ac:dyDescent="0.3">
      <c r="A8" t="s">
        <v>12</v>
      </c>
      <c r="B8">
        <v>7.3804300618484859</v>
      </c>
    </row>
    <row r="9" spans="1:2" x14ac:dyDescent="0.3">
      <c r="A9" t="s">
        <v>7</v>
      </c>
      <c r="B9">
        <v>7.4409192590000002</v>
      </c>
    </row>
    <row r="10" spans="1:2" x14ac:dyDescent="0.3">
      <c r="A10" t="s">
        <v>8</v>
      </c>
      <c r="B10">
        <v>7.3013487630909095</v>
      </c>
    </row>
    <row r="11" spans="1:2" x14ac:dyDescent="0.3">
      <c r="A11" t="s">
        <v>11</v>
      </c>
      <c r="B11">
        <v>7.2939265553333321</v>
      </c>
    </row>
    <row r="12" spans="1:2" x14ac:dyDescent="0.3">
      <c r="A12" t="s">
        <v>6</v>
      </c>
      <c r="B12">
        <v>7.3137133895757582</v>
      </c>
    </row>
    <row r="13" spans="1:2" x14ac:dyDescent="0.3">
      <c r="A13" t="s">
        <v>4</v>
      </c>
      <c r="B13">
        <v>7.2957198892121209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FD229-C428-4F0D-9838-83C613A4B4D7}">
  <dimension ref="A1:M52"/>
  <sheetViews>
    <sheetView workbookViewId="0">
      <selection sqref="A1:M52"/>
    </sheetView>
  </sheetViews>
  <sheetFormatPr defaultRowHeight="14.4" x14ac:dyDescent="0.3"/>
  <sheetData>
    <row r="1" spans="1:13" x14ac:dyDescent="0.3">
      <c r="A1" s="1" t="s">
        <v>9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0</v>
      </c>
      <c r="H1" s="1" t="s">
        <v>1</v>
      </c>
      <c r="I1" s="1" t="s">
        <v>7</v>
      </c>
      <c r="J1" s="1" t="s">
        <v>8</v>
      </c>
      <c r="K1" s="5" t="s">
        <v>11</v>
      </c>
      <c r="L1" s="5" t="s">
        <v>12</v>
      </c>
      <c r="M1" s="5" t="s">
        <v>13</v>
      </c>
    </row>
    <row r="2" spans="1:13" x14ac:dyDescent="0.3">
      <c r="A2">
        <v>1975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</row>
    <row r="3" spans="1:13" x14ac:dyDescent="0.3">
      <c r="A3">
        <v>1976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</row>
    <row r="4" spans="1:13" x14ac:dyDescent="0.3">
      <c r="A4">
        <v>1977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</row>
    <row r="5" spans="1:13" x14ac:dyDescent="0.3">
      <c r="A5">
        <v>1978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</row>
    <row r="6" spans="1:13" x14ac:dyDescent="0.3">
      <c r="A6">
        <v>1979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</row>
    <row r="7" spans="1:13" x14ac:dyDescent="0.3">
      <c r="A7">
        <v>1980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3">
      <c r="A8">
        <v>1981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</row>
    <row r="9" spans="1:13" x14ac:dyDescent="0.3">
      <c r="A9">
        <v>1982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</row>
    <row r="10" spans="1:13" x14ac:dyDescent="0.3">
      <c r="A10">
        <v>1983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</row>
    <row r="11" spans="1:13" x14ac:dyDescent="0.3">
      <c r="A11">
        <v>1984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</row>
    <row r="12" spans="1:13" x14ac:dyDescent="0.3">
      <c r="A12">
        <v>1985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</row>
    <row r="13" spans="1:13" x14ac:dyDescent="0.3">
      <c r="A13">
        <v>1986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</row>
    <row r="14" spans="1:13" x14ac:dyDescent="0.3">
      <c r="A14">
        <v>1987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</row>
    <row r="15" spans="1:13" x14ac:dyDescent="0.3">
      <c r="A15">
        <v>1988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</row>
    <row r="16" spans="1:13" x14ac:dyDescent="0.3">
      <c r="A16">
        <v>1989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</row>
    <row r="17" spans="1:13" x14ac:dyDescent="0.3">
      <c r="A17">
        <v>1990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3">
      <c r="A18">
        <v>1991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</row>
    <row r="19" spans="1:13" x14ac:dyDescent="0.3">
      <c r="A19">
        <v>1992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3">
      <c r="A20">
        <v>1993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</row>
    <row r="21" spans="1:13" x14ac:dyDescent="0.3">
      <c r="A21">
        <v>1994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</row>
    <row r="22" spans="1:13" x14ac:dyDescent="0.3">
      <c r="A22">
        <v>1995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</row>
    <row r="23" spans="1:13" x14ac:dyDescent="0.3">
      <c r="A23">
        <v>1996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</row>
    <row r="24" spans="1:13" x14ac:dyDescent="0.3">
      <c r="A24">
        <v>1997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</row>
    <row r="25" spans="1:13" x14ac:dyDescent="0.3">
      <c r="A25">
        <v>1998</v>
      </c>
      <c r="B25">
        <v>1000</v>
      </c>
      <c r="C25">
        <v>1000</v>
      </c>
      <c r="D25">
        <v>1000</v>
      </c>
      <c r="E25">
        <v>1000</v>
      </c>
      <c r="F25">
        <v>1000</v>
      </c>
      <c r="G25">
        <v>1000</v>
      </c>
      <c r="H25">
        <v>1000</v>
      </c>
      <c r="I25">
        <v>1000</v>
      </c>
      <c r="J25">
        <v>1000</v>
      </c>
      <c r="K25">
        <v>1000</v>
      </c>
      <c r="L25">
        <v>1000</v>
      </c>
      <c r="M25">
        <v>1000</v>
      </c>
    </row>
    <row r="26" spans="1:13" x14ac:dyDescent="0.3">
      <c r="A26">
        <v>1999</v>
      </c>
      <c r="B26">
        <v>1000</v>
      </c>
      <c r="C26">
        <v>1000</v>
      </c>
      <c r="D26">
        <v>1000</v>
      </c>
      <c r="E26">
        <v>1000</v>
      </c>
      <c r="F26">
        <v>1000</v>
      </c>
      <c r="G26">
        <v>1000</v>
      </c>
      <c r="H26">
        <v>1000</v>
      </c>
      <c r="I26">
        <v>1000</v>
      </c>
      <c r="J26">
        <v>1000</v>
      </c>
      <c r="K26">
        <v>1000</v>
      </c>
      <c r="L26">
        <v>1000</v>
      </c>
      <c r="M26">
        <v>1000</v>
      </c>
    </row>
    <row r="27" spans="1:13" x14ac:dyDescent="0.3">
      <c r="A27">
        <v>2000</v>
      </c>
      <c r="B27">
        <v>1000</v>
      </c>
      <c r="C27">
        <v>1000</v>
      </c>
      <c r="D27">
        <v>1000</v>
      </c>
      <c r="E27">
        <v>1000</v>
      </c>
      <c r="F27">
        <v>1000</v>
      </c>
      <c r="G27">
        <v>1000</v>
      </c>
      <c r="H27">
        <v>1000</v>
      </c>
      <c r="I27">
        <v>1000</v>
      </c>
      <c r="J27">
        <v>1000</v>
      </c>
      <c r="K27">
        <v>1000</v>
      </c>
      <c r="L27">
        <v>1000</v>
      </c>
      <c r="M27">
        <v>1000</v>
      </c>
    </row>
    <row r="28" spans="1:13" x14ac:dyDescent="0.3">
      <c r="A28">
        <v>2001</v>
      </c>
      <c r="B28">
        <v>1000</v>
      </c>
      <c r="C28">
        <v>1000</v>
      </c>
      <c r="D28">
        <v>1000</v>
      </c>
      <c r="E28">
        <v>1000</v>
      </c>
      <c r="F28">
        <v>1000</v>
      </c>
      <c r="G28">
        <v>1000</v>
      </c>
      <c r="H28">
        <v>1000</v>
      </c>
      <c r="I28">
        <v>1000</v>
      </c>
      <c r="J28">
        <v>1000</v>
      </c>
      <c r="K28">
        <v>1000</v>
      </c>
      <c r="L28">
        <v>0</v>
      </c>
      <c r="M28">
        <v>1000</v>
      </c>
    </row>
    <row r="29" spans="1:13" x14ac:dyDescent="0.3">
      <c r="A29">
        <v>2002</v>
      </c>
      <c r="B29">
        <v>1000</v>
      </c>
      <c r="C29">
        <v>1000</v>
      </c>
      <c r="D29">
        <v>1000</v>
      </c>
      <c r="E29">
        <v>1000</v>
      </c>
      <c r="F29">
        <v>1000</v>
      </c>
      <c r="G29">
        <v>1000</v>
      </c>
      <c r="H29">
        <v>1000</v>
      </c>
      <c r="I29">
        <v>1000</v>
      </c>
      <c r="J29">
        <v>1000</v>
      </c>
      <c r="K29">
        <v>1000</v>
      </c>
      <c r="L29">
        <v>0</v>
      </c>
      <c r="M29">
        <v>1000</v>
      </c>
    </row>
    <row r="30" spans="1:13" x14ac:dyDescent="0.3">
      <c r="A30">
        <v>2003</v>
      </c>
      <c r="B30">
        <v>1000</v>
      </c>
      <c r="C30">
        <v>1000</v>
      </c>
      <c r="D30">
        <v>1000</v>
      </c>
      <c r="E30">
        <v>1000</v>
      </c>
      <c r="F30">
        <v>1000</v>
      </c>
      <c r="G30">
        <v>1000</v>
      </c>
      <c r="H30">
        <v>1000</v>
      </c>
      <c r="I30">
        <v>1000</v>
      </c>
      <c r="J30">
        <v>1000</v>
      </c>
      <c r="K30">
        <v>1000</v>
      </c>
      <c r="L30">
        <v>0</v>
      </c>
      <c r="M30">
        <v>1000</v>
      </c>
    </row>
    <row r="31" spans="1:13" x14ac:dyDescent="0.3">
      <c r="A31">
        <v>2004</v>
      </c>
      <c r="B31">
        <v>1000</v>
      </c>
      <c r="C31">
        <v>1000</v>
      </c>
      <c r="D31">
        <v>1000</v>
      </c>
      <c r="E31">
        <v>1000</v>
      </c>
      <c r="F31">
        <v>1000</v>
      </c>
      <c r="G31">
        <v>1000</v>
      </c>
      <c r="H31">
        <v>1000</v>
      </c>
      <c r="I31">
        <v>1000</v>
      </c>
      <c r="J31">
        <v>1000</v>
      </c>
      <c r="K31">
        <v>1000</v>
      </c>
      <c r="L31">
        <v>0</v>
      </c>
      <c r="M31">
        <v>1000</v>
      </c>
    </row>
    <row r="32" spans="1:13" x14ac:dyDescent="0.3">
      <c r="A32">
        <v>2005</v>
      </c>
      <c r="B32">
        <v>1000</v>
      </c>
      <c r="C32">
        <v>1000</v>
      </c>
      <c r="D32">
        <v>1000</v>
      </c>
      <c r="E32">
        <v>1000</v>
      </c>
      <c r="F32">
        <v>1000</v>
      </c>
      <c r="G32">
        <v>1000</v>
      </c>
      <c r="H32">
        <v>1000</v>
      </c>
      <c r="I32">
        <v>1000</v>
      </c>
      <c r="J32">
        <v>1000</v>
      </c>
      <c r="K32">
        <v>1000</v>
      </c>
      <c r="L32">
        <v>0</v>
      </c>
      <c r="M32">
        <v>1000</v>
      </c>
    </row>
    <row r="33" spans="1:13" x14ac:dyDescent="0.3">
      <c r="A33">
        <v>2006</v>
      </c>
      <c r="B33">
        <v>3000</v>
      </c>
      <c r="C33">
        <v>3000</v>
      </c>
      <c r="D33">
        <v>3000</v>
      </c>
      <c r="E33">
        <v>3000</v>
      </c>
      <c r="F33">
        <v>3000</v>
      </c>
      <c r="G33">
        <v>3000</v>
      </c>
      <c r="H33">
        <v>3000</v>
      </c>
      <c r="I33">
        <v>3000</v>
      </c>
      <c r="J33">
        <v>3000</v>
      </c>
      <c r="K33">
        <v>3000</v>
      </c>
      <c r="L33">
        <v>0</v>
      </c>
      <c r="M33">
        <v>3000</v>
      </c>
    </row>
    <row r="34" spans="1:13" x14ac:dyDescent="0.3">
      <c r="A34">
        <v>2007</v>
      </c>
      <c r="B34">
        <v>3000</v>
      </c>
      <c r="C34">
        <v>3000</v>
      </c>
      <c r="D34">
        <v>3000</v>
      </c>
      <c r="E34">
        <v>3000</v>
      </c>
      <c r="F34">
        <v>3000</v>
      </c>
      <c r="G34">
        <v>3000</v>
      </c>
      <c r="H34">
        <v>3000</v>
      </c>
      <c r="I34">
        <v>3000</v>
      </c>
      <c r="J34">
        <v>3000</v>
      </c>
      <c r="K34">
        <v>3000</v>
      </c>
      <c r="L34">
        <v>0</v>
      </c>
      <c r="M34">
        <v>3000</v>
      </c>
    </row>
    <row r="35" spans="1:13" x14ac:dyDescent="0.3">
      <c r="A35">
        <v>2008</v>
      </c>
      <c r="B35">
        <v>3000</v>
      </c>
      <c r="C35">
        <v>3000</v>
      </c>
      <c r="D35">
        <v>3000</v>
      </c>
      <c r="E35">
        <v>3000</v>
      </c>
      <c r="F35">
        <v>3000</v>
      </c>
      <c r="G35">
        <v>3000</v>
      </c>
      <c r="H35">
        <v>3000</v>
      </c>
      <c r="I35">
        <v>3000</v>
      </c>
      <c r="J35">
        <v>3000</v>
      </c>
      <c r="K35">
        <v>3000</v>
      </c>
      <c r="L35">
        <v>0</v>
      </c>
      <c r="M35">
        <v>3000</v>
      </c>
    </row>
    <row r="36" spans="1:13" x14ac:dyDescent="0.3">
      <c r="A36">
        <v>2009</v>
      </c>
      <c r="B36">
        <v>3000</v>
      </c>
      <c r="C36">
        <v>3000</v>
      </c>
      <c r="D36">
        <v>3000</v>
      </c>
      <c r="E36">
        <v>3000</v>
      </c>
      <c r="F36">
        <v>3000</v>
      </c>
      <c r="G36">
        <v>3000</v>
      </c>
      <c r="H36">
        <v>3000</v>
      </c>
      <c r="I36">
        <v>3000</v>
      </c>
      <c r="J36">
        <v>3000</v>
      </c>
      <c r="K36">
        <v>3000</v>
      </c>
      <c r="L36">
        <v>0</v>
      </c>
      <c r="M36">
        <v>3000</v>
      </c>
    </row>
    <row r="37" spans="1:13" x14ac:dyDescent="0.3">
      <c r="A37">
        <v>2010</v>
      </c>
      <c r="B37">
        <v>3000</v>
      </c>
      <c r="C37">
        <v>3000</v>
      </c>
      <c r="D37">
        <v>3000</v>
      </c>
      <c r="E37">
        <v>3000</v>
      </c>
      <c r="F37">
        <v>3000</v>
      </c>
      <c r="G37">
        <v>3000</v>
      </c>
      <c r="H37">
        <v>3000</v>
      </c>
      <c r="I37">
        <v>3000</v>
      </c>
      <c r="J37">
        <v>3000</v>
      </c>
      <c r="K37">
        <v>3000</v>
      </c>
      <c r="L37">
        <v>0</v>
      </c>
      <c r="M37">
        <v>3000</v>
      </c>
    </row>
    <row r="38" spans="1:13" x14ac:dyDescent="0.3">
      <c r="A38">
        <v>2011</v>
      </c>
      <c r="B38">
        <v>3000</v>
      </c>
      <c r="C38">
        <v>3000</v>
      </c>
      <c r="D38">
        <v>3000</v>
      </c>
      <c r="E38">
        <v>3000</v>
      </c>
      <c r="F38">
        <v>3000</v>
      </c>
      <c r="G38">
        <v>3000</v>
      </c>
      <c r="H38">
        <v>3000</v>
      </c>
      <c r="I38">
        <v>3000</v>
      </c>
      <c r="J38">
        <v>3000</v>
      </c>
      <c r="K38">
        <v>3000</v>
      </c>
      <c r="L38">
        <v>0</v>
      </c>
      <c r="M38">
        <v>3000</v>
      </c>
    </row>
    <row r="39" spans="1:13" x14ac:dyDescent="0.3">
      <c r="A39">
        <v>2012</v>
      </c>
      <c r="B39">
        <v>9000</v>
      </c>
      <c r="C39">
        <v>9000</v>
      </c>
      <c r="D39">
        <v>9000</v>
      </c>
      <c r="E39">
        <v>9000</v>
      </c>
      <c r="F39">
        <v>9000</v>
      </c>
      <c r="G39">
        <v>9000</v>
      </c>
      <c r="H39">
        <v>9000</v>
      </c>
      <c r="I39">
        <v>9000</v>
      </c>
      <c r="J39">
        <v>9000</v>
      </c>
      <c r="K39">
        <v>9000</v>
      </c>
      <c r="L39">
        <v>0</v>
      </c>
      <c r="M39">
        <v>3465</v>
      </c>
    </row>
    <row r="40" spans="1:13" x14ac:dyDescent="0.3">
      <c r="A40">
        <v>2013</v>
      </c>
      <c r="B40">
        <v>9000</v>
      </c>
      <c r="C40">
        <v>9000</v>
      </c>
      <c r="D40">
        <v>9000</v>
      </c>
      <c r="E40">
        <v>9000</v>
      </c>
      <c r="F40">
        <v>9000</v>
      </c>
      <c r="G40">
        <v>9000</v>
      </c>
      <c r="H40">
        <v>9000</v>
      </c>
      <c r="I40">
        <v>9000</v>
      </c>
      <c r="J40">
        <v>9000</v>
      </c>
      <c r="K40">
        <v>9000</v>
      </c>
      <c r="L40">
        <v>0</v>
      </c>
      <c r="M40">
        <v>3465</v>
      </c>
    </row>
    <row r="41" spans="1:13" x14ac:dyDescent="0.3">
      <c r="A41">
        <v>2014</v>
      </c>
      <c r="B41">
        <v>9000</v>
      </c>
      <c r="C41">
        <v>9000</v>
      </c>
      <c r="D41">
        <v>9000</v>
      </c>
      <c r="E41">
        <v>9000</v>
      </c>
      <c r="F41">
        <v>9000</v>
      </c>
      <c r="G41">
        <v>9000</v>
      </c>
      <c r="H41">
        <v>9000</v>
      </c>
      <c r="I41">
        <v>9000</v>
      </c>
      <c r="J41">
        <v>9000</v>
      </c>
      <c r="K41">
        <v>9000</v>
      </c>
      <c r="L41">
        <v>0</v>
      </c>
      <c r="M41">
        <v>3465</v>
      </c>
    </row>
    <row r="42" spans="1:13" x14ac:dyDescent="0.3">
      <c r="A42">
        <v>2015</v>
      </c>
      <c r="B42">
        <v>9000</v>
      </c>
      <c r="C42">
        <v>9000</v>
      </c>
      <c r="D42">
        <v>9000</v>
      </c>
      <c r="E42">
        <v>9000</v>
      </c>
      <c r="F42">
        <v>9000</v>
      </c>
      <c r="G42">
        <v>9000</v>
      </c>
      <c r="H42">
        <v>9000</v>
      </c>
      <c r="I42">
        <v>9000</v>
      </c>
      <c r="J42">
        <v>9000</v>
      </c>
      <c r="K42">
        <v>9000</v>
      </c>
      <c r="L42">
        <v>0</v>
      </c>
      <c r="M42">
        <v>3465</v>
      </c>
    </row>
    <row r="43" spans="1:13" x14ac:dyDescent="0.3">
      <c r="A43">
        <v>2016</v>
      </c>
      <c r="B43">
        <v>9000</v>
      </c>
      <c r="C43">
        <v>9000</v>
      </c>
      <c r="D43">
        <v>9000</v>
      </c>
      <c r="E43">
        <v>9000</v>
      </c>
      <c r="F43">
        <v>9000</v>
      </c>
      <c r="G43">
        <v>9000</v>
      </c>
      <c r="H43">
        <v>9000</v>
      </c>
      <c r="I43">
        <v>9000</v>
      </c>
      <c r="J43">
        <v>9000</v>
      </c>
      <c r="K43">
        <v>9000</v>
      </c>
      <c r="L43">
        <v>0</v>
      </c>
      <c r="M43">
        <v>3465</v>
      </c>
    </row>
    <row r="44" spans="1:13" x14ac:dyDescent="0.3">
      <c r="A44">
        <v>2017</v>
      </c>
      <c r="B44">
        <v>9250</v>
      </c>
      <c r="C44">
        <v>9250</v>
      </c>
      <c r="D44">
        <v>9250</v>
      </c>
      <c r="E44">
        <v>9250</v>
      </c>
      <c r="F44">
        <v>9250</v>
      </c>
      <c r="G44">
        <v>9250</v>
      </c>
      <c r="H44">
        <v>9250</v>
      </c>
      <c r="I44">
        <v>9250</v>
      </c>
      <c r="J44">
        <v>9250</v>
      </c>
      <c r="K44">
        <v>9000</v>
      </c>
      <c r="L44">
        <v>0</v>
      </c>
      <c r="M44">
        <v>4030</v>
      </c>
    </row>
    <row r="45" spans="1:13" x14ac:dyDescent="0.3">
      <c r="A45">
        <v>2018</v>
      </c>
      <c r="B45">
        <v>9250</v>
      </c>
      <c r="C45">
        <v>9250</v>
      </c>
      <c r="D45">
        <v>9250</v>
      </c>
      <c r="E45">
        <v>9250</v>
      </c>
      <c r="F45">
        <v>9250</v>
      </c>
      <c r="G45">
        <v>9250</v>
      </c>
      <c r="H45">
        <v>9250</v>
      </c>
      <c r="I45">
        <v>9250</v>
      </c>
      <c r="J45">
        <v>9250</v>
      </c>
      <c r="K45">
        <v>9250</v>
      </c>
      <c r="L45">
        <v>0</v>
      </c>
      <c r="M45">
        <v>4030</v>
      </c>
    </row>
    <row r="46" spans="1:13" x14ac:dyDescent="0.3">
      <c r="A46">
        <v>2019</v>
      </c>
      <c r="B46">
        <v>9250</v>
      </c>
      <c r="C46">
        <v>9250</v>
      </c>
      <c r="D46">
        <v>9250</v>
      </c>
      <c r="E46">
        <v>9250</v>
      </c>
      <c r="F46">
        <v>9250</v>
      </c>
      <c r="G46">
        <v>9250</v>
      </c>
      <c r="H46">
        <v>9250</v>
      </c>
      <c r="I46">
        <v>9250</v>
      </c>
      <c r="J46">
        <v>9250</v>
      </c>
      <c r="K46">
        <v>9250</v>
      </c>
      <c r="L46">
        <v>0</v>
      </c>
      <c r="M46">
        <v>4030</v>
      </c>
    </row>
    <row r="47" spans="1:13" x14ac:dyDescent="0.3">
      <c r="A47">
        <v>2020</v>
      </c>
      <c r="B47">
        <v>9250</v>
      </c>
      <c r="C47">
        <v>9250</v>
      </c>
      <c r="D47">
        <v>9250</v>
      </c>
      <c r="E47">
        <v>9250</v>
      </c>
      <c r="F47">
        <v>9250</v>
      </c>
      <c r="G47">
        <v>9250</v>
      </c>
      <c r="H47">
        <v>9250</v>
      </c>
      <c r="I47">
        <v>9250</v>
      </c>
      <c r="J47">
        <v>9250</v>
      </c>
      <c r="K47">
        <v>9250</v>
      </c>
      <c r="L47">
        <v>0</v>
      </c>
      <c r="M47">
        <v>4030</v>
      </c>
    </row>
    <row r="48" spans="1:13" x14ac:dyDescent="0.3">
      <c r="A48">
        <v>2021</v>
      </c>
      <c r="B48">
        <v>9250</v>
      </c>
      <c r="C48">
        <v>9250</v>
      </c>
      <c r="D48">
        <v>9250</v>
      </c>
      <c r="E48">
        <v>9250</v>
      </c>
      <c r="F48">
        <v>9250</v>
      </c>
      <c r="G48">
        <v>9250</v>
      </c>
      <c r="H48">
        <v>9250</v>
      </c>
      <c r="I48">
        <v>9250</v>
      </c>
      <c r="J48">
        <v>9250</v>
      </c>
      <c r="K48">
        <v>9250</v>
      </c>
      <c r="L48">
        <v>0</v>
      </c>
      <c r="M48">
        <v>4030</v>
      </c>
    </row>
    <row r="49" spans="1:13" x14ac:dyDescent="0.3">
      <c r="A49">
        <v>2022</v>
      </c>
      <c r="B49">
        <v>9250</v>
      </c>
      <c r="C49">
        <v>9250</v>
      </c>
      <c r="D49">
        <v>9250</v>
      </c>
      <c r="E49">
        <v>9250</v>
      </c>
      <c r="F49">
        <v>9250</v>
      </c>
      <c r="G49">
        <v>9250</v>
      </c>
      <c r="H49">
        <v>9250</v>
      </c>
      <c r="I49">
        <v>9250</v>
      </c>
      <c r="J49">
        <v>9250</v>
      </c>
      <c r="K49">
        <v>9250</v>
      </c>
      <c r="L49">
        <v>0</v>
      </c>
      <c r="M49">
        <v>4630</v>
      </c>
    </row>
    <row r="50" spans="1:13" x14ac:dyDescent="0.3">
      <c r="A50">
        <v>2023</v>
      </c>
      <c r="B50">
        <v>9250</v>
      </c>
      <c r="C50">
        <v>9250</v>
      </c>
      <c r="D50">
        <v>9250</v>
      </c>
      <c r="E50">
        <v>9250</v>
      </c>
      <c r="F50">
        <v>9250</v>
      </c>
      <c r="G50">
        <v>9250</v>
      </c>
      <c r="H50">
        <v>9250</v>
      </c>
      <c r="I50">
        <v>9250</v>
      </c>
      <c r="J50">
        <v>9250</v>
      </c>
      <c r="K50">
        <v>9250</v>
      </c>
      <c r="L50">
        <v>0</v>
      </c>
      <c r="M50">
        <v>4750</v>
      </c>
    </row>
    <row r="51" spans="1:13" x14ac:dyDescent="0.3">
      <c r="A51">
        <v>2024</v>
      </c>
      <c r="B51">
        <v>9250</v>
      </c>
      <c r="C51">
        <v>9250</v>
      </c>
      <c r="D51">
        <v>9250</v>
      </c>
      <c r="E51">
        <v>9250</v>
      </c>
      <c r="F51">
        <v>9250</v>
      </c>
      <c r="G51">
        <v>9250</v>
      </c>
      <c r="H51">
        <v>9250</v>
      </c>
      <c r="I51">
        <v>9250</v>
      </c>
      <c r="J51">
        <v>9250</v>
      </c>
      <c r="K51">
        <v>9250</v>
      </c>
      <c r="L51">
        <v>0</v>
      </c>
      <c r="M51">
        <v>4750</v>
      </c>
    </row>
    <row r="52" spans="1:13" x14ac:dyDescent="0.3">
      <c r="A52">
        <v>2025</v>
      </c>
      <c r="B52">
        <v>9535</v>
      </c>
      <c r="C52">
        <v>9535</v>
      </c>
      <c r="D52">
        <v>9535</v>
      </c>
      <c r="E52">
        <v>9535</v>
      </c>
      <c r="F52">
        <v>9535</v>
      </c>
      <c r="G52">
        <v>9535</v>
      </c>
      <c r="H52">
        <v>9535</v>
      </c>
      <c r="I52">
        <v>9535</v>
      </c>
      <c r="J52">
        <v>9535</v>
      </c>
      <c r="K52">
        <v>9535</v>
      </c>
      <c r="L52">
        <v>0</v>
      </c>
      <c r="M52">
        <v>4750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6D3C2-0C12-4CA7-A629-7495838D7080}">
  <dimension ref="A1:N52"/>
  <sheetViews>
    <sheetView topLeftCell="A4" workbookViewId="0">
      <selection activeCell="N2" sqref="N2:N52"/>
    </sheetView>
  </sheetViews>
  <sheetFormatPr defaultRowHeight="14.4" x14ac:dyDescent="0.3"/>
  <cols>
    <col min="6" max="6" width="13.44140625" bestFit="1" customWidth="1"/>
  </cols>
  <sheetData>
    <row r="1" spans="1:14" x14ac:dyDescent="0.3">
      <c r="A1" s="1" t="s">
        <v>9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0</v>
      </c>
      <c r="H1" s="1" t="s">
        <v>1</v>
      </c>
      <c r="I1" s="1" t="s">
        <v>7</v>
      </c>
      <c r="J1" s="1" t="s">
        <v>8</v>
      </c>
      <c r="K1" s="5" t="s">
        <v>11</v>
      </c>
      <c r="L1" s="5" t="s">
        <v>12</v>
      </c>
      <c r="M1" s="5" t="s">
        <v>13</v>
      </c>
    </row>
    <row r="2" spans="1:14" x14ac:dyDescent="0.3">
      <c r="A2">
        <v>1975</v>
      </c>
      <c r="B2">
        <v>2</v>
      </c>
      <c r="C2">
        <v>4</v>
      </c>
      <c r="D2">
        <v>5</v>
      </c>
      <c r="E2">
        <v>3</v>
      </c>
      <c r="F2">
        <v>4</v>
      </c>
      <c r="G2">
        <v>3</v>
      </c>
      <c r="H2">
        <v>3</v>
      </c>
      <c r="I2">
        <v>7</v>
      </c>
      <c r="J2">
        <v>3</v>
      </c>
      <c r="K2" s="2">
        <v>1</v>
      </c>
      <c r="L2" s="2">
        <v>8</v>
      </c>
      <c r="M2" s="2">
        <v>2</v>
      </c>
      <c r="N2">
        <f>SUM(B2:M2)</f>
        <v>45</v>
      </c>
    </row>
    <row r="3" spans="1:14" x14ac:dyDescent="0.3">
      <c r="A3">
        <v>1976</v>
      </c>
      <c r="B3">
        <v>2</v>
      </c>
      <c r="C3">
        <v>4</v>
      </c>
      <c r="D3">
        <v>5</v>
      </c>
      <c r="E3">
        <v>3</v>
      </c>
      <c r="F3">
        <v>4</v>
      </c>
      <c r="G3">
        <v>3</v>
      </c>
      <c r="H3">
        <v>3</v>
      </c>
      <c r="I3">
        <v>7</v>
      </c>
      <c r="J3">
        <v>3</v>
      </c>
      <c r="K3" s="2">
        <v>1</v>
      </c>
      <c r="L3" s="2">
        <v>8</v>
      </c>
      <c r="M3" s="2">
        <v>2</v>
      </c>
      <c r="N3">
        <f t="shared" ref="N3:N52" si="0">SUM(B3:M3)</f>
        <v>45</v>
      </c>
    </row>
    <row r="4" spans="1:14" x14ac:dyDescent="0.3">
      <c r="A4">
        <v>1977</v>
      </c>
      <c r="B4">
        <v>2</v>
      </c>
      <c r="C4">
        <v>4</v>
      </c>
      <c r="D4">
        <v>5</v>
      </c>
      <c r="E4">
        <v>3</v>
      </c>
      <c r="F4">
        <v>4</v>
      </c>
      <c r="G4">
        <v>3</v>
      </c>
      <c r="H4">
        <v>3</v>
      </c>
      <c r="I4">
        <v>7</v>
      </c>
      <c r="J4">
        <v>3</v>
      </c>
      <c r="K4" s="2">
        <v>1</v>
      </c>
      <c r="L4" s="2">
        <v>8</v>
      </c>
      <c r="M4" s="2">
        <v>2</v>
      </c>
      <c r="N4">
        <f t="shared" si="0"/>
        <v>45</v>
      </c>
    </row>
    <row r="5" spans="1:14" x14ac:dyDescent="0.3">
      <c r="A5">
        <v>1978</v>
      </c>
      <c r="B5">
        <v>2</v>
      </c>
      <c r="C5">
        <v>4</v>
      </c>
      <c r="D5">
        <v>5</v>
      </c>
      <c r="E5">
        <v>3</v>
      </c>
      <c r="F5">
        <v>4</v>
      </c>
      <c r="G5">
        <v>3</v>
      </c>
      <c r="H5">
        <v>3</v>
      </c>
      <c r="I5">
        <v>7</v>
      </c>
      <c r="J5">
        <v>3</v>
      </c>
      <c r="K5" s="2">
        <v>1</v>
      </c>
      <c r="L5" s="2">
        <v>8</v>
      </c>
      <c r="M5" s="2">
        <v>2</v>
      </c>
      <c r="N5">
        <f t="shared" si="0"/>
        <v>45</v>
      </c>
    </row>
    <row r="6" spans="1:14" x14ac:dyDescent="0.3">
      <c r="A6">
        <v>1979</v>
      </c>
      <c r="B6">
        <v>2</v>
      </c>
      <c r="C6">
        <v>4</v>
      </c>
      <c r="D6">
        <v>5</v>
      </c>
      <c r="E6">
        <v>3</v>
      </c>
      <c r="F6">
        <v>4</v>
      </c>
      <c r="G6">
        <v>3</v>
      </c>
      <c r="H6">
        <v>3</v>
      </c>
      <c r="I6">
        <v>7</v>
      </c>
      <c r="J6">
        <v>3</v>
      </c>
      <c r="K6" s="2">
        <v>1</v>
      </c>
      <c r="L6" s="2">
        <v>8</v>
      </c>
      <c r="M6" s="2">
        <v>2</v>
      </c>
      <c r="N6">
        <f t="shared" si="0"/>
        <v>45</v>
      </c>
    </row>
    <row r="7" spans="1:14" x14ac:dyDescent="0.3">
      <c r="A7">
        <v>1980</v>
      </c>
      <c r="B7">
        <v>2</v>
      </c>
      <c r="C7">
        <v>4</v>
      </c>
      <c r="D7">
        <v>5</v>
      </c>
      <c r="E7">
        <v>3</v>
      </c>
      <c r="F7">
        <v>4</v>
      </c>
      <c r="G7">
        <v>3</v>
      </c>
      <c r="H7">
        <v>3</v>
      </c>
      <c r="I7">
        <v>7</v>
      </c>
      <c r="J7">
        <v>3</v>
      </c>
      <c r="K7" s="2">
        <v>1</v>
      </c>
      <c r="L7" s="2">
        <v>8</v>
      </c>
      <c r="M7" s="2">
        <v>2</v>
      </c>
      <c r="N7">
        <f t="shared" si="0"/>
        <v>45</v>
      </c>
    </row>
    <row r="8" spans="1:14" x14ac:dyDescent="0.3">
      <c r="A8">
        <v>1981</v>
      </c>
      <c r="B8">
        <v>2</v>
      </c>
      <c r="C8">
        <v>4</v>
      </c>
      <c r="D8">
        <v>5</v>
      </c>
      <c r="E8">
        <v>3</v>
      </c>
      <c r="F8">
        <v>4</v>
      </c>
      <c r="G8">
        <v>3</v>
      </c>
      <c r="H8">
        <v>3</v>
      </c>
      <c r="I8">
        <v>7</v>
      </c>
      <c r="J8">
        <v>3</v>
      </c>
      <c r="K8" s="2">
        <v>1</v>
      </c>
      <c r="L8" s="2">
        <v>8</v>
      </c>
      <c r="M8" s="2">
        <v>2</v>
      </c>
      <c r="N8">
        <f t="shared" si="0"/>
        <v>45</v>
      </c>
    </row>
    <row r="9" spans="1:14" x14ac:dyDescent="0.3">
      <c r="A9">
        <v>1982</v>
      </c>
      <c r="B9">
        <v>2</v>
      </c>
      <c r="C9">
        <v>4</v>
      </c>
      <c r="D9">
        <v>5</v>
      </c>
      <c r="E9">
        <v>3</v>
      </c>
      <c r="F9">
        <v>4</v>
      </c>
      <c r="G9">
        <v>3</v>
      </c>
      <c r="H9">
        <v>3</v>
      </c>
      <c r="I9">
        <v>7</v>
      </c>
      <c r="J9">
        <v>3</v>
      </c>
      <c r="K9" s="2">
        <v>1</v>
      </c>
      <c r="L9" s="2">
        <v>8</v>
      </c>
      <c r="M9" s="2">
        <v>2</v>
      </c>
      <c r="N9">
        <f t="shared" si="0"/>
        <v>45</v>
      </c>
    </row>
    <row r="10" spans="1:14" x14ac:dyDescent="0.3">
      <c r="A10">
        <v>1983</v>
      </c>
      <c r="B10">
        <v>2</v>
      </c>
      <c r="C10">
        <v>4</v>
      </c>
      <c r="D10">
        <v>5</v>
      </c>
      <c r="E10">
        <v>3</v>
      </c>
      <c r="F10">
        <v>4</v>
      </c>
      <c r="G10">
        <v>3</v>
      </c>
      <c r="H10">
        <v>3</v>
      </c>
      <c r="I10">
        <v>8</v>
      </c>
      <c r="J10">
        <v>3</v>
      </c>
      <c r="K10" s="2">
        <v>1</v>
      </c>
      <c r="L10" s="2">
        <v>8</v>
      </c>
      <c r="M10" s="2">
        <v>2</v>
      </c>
      <c r="N10">
        <f t="shared" si="0"/>
        <v>46</v>
      </c>
    </row>
    <row r="11" spans="1:14" x14ac:dyDescent="0.3">
      <c r="A11">
        <v>1984</v>
      </c>
      <c r="B11">
        <v>2</v>
      </c>
      <c r="C11">
        <v>4</v>
      </c>
      <c r="D11">
        <v>5</v>
      </c>
      <c r="E11">
        <v>3</v>
      </c>
      <c r="F11">
        <v>4</v>
      </c>
      <c r="G11">
        <v>3</v>
      </c>
      <c r="H11">
        <v>3</v>
      </c>
      <c r="I11">
        <v>8</v>
      </c>
      <c r="J11">
        <v>3</v>
      </c>
      <c r="K11" s="2">
        <v>1</v>
      </c>
      <c r="L11" s="2">
        <v>8</v>
      </c>
      <c r="M11" s="2">
        <v>2</v>
      </c>
      <c r="N11">
        <f t="shared" si="0"/>
        <v>46</v>
      </c>
    </row>
    <row r="12" spans="1:14" x14ac:dyDescent="0.3">
      <c r="A12">
        <v>1985</v>
      </c>
      <c r="B12">
        <v>2</v>
      </c>
      <c r="C12">
        <v>4</v>
      </c>
      <c r="D12">
        <v>5</v>
      </c>
      <c r="E12">
        <v>3</v>
      </c>
      <c r="F12">
        <v>4</v>
      </c>
      <c r="G12">
        <v>3</v>
      </c>
      <c r="H12">
        <v>3</v>
      </c>
      <c r="I12">
        <v>8</v>
      </c>
      <c r="J12">
        <v>3</v>
      </c>
      <c r="K12" s="2">
        <v>1</v>
      </c>
      <c r="L12" s="2">
        <v>8</v>
      </c>
      <c r="M12" s="2">
        <v>2</v>
      </c>
      <c r="N12">
        <f t="shared" si="0"/>
        <v>46</v>
      </c>
    </row>
    <row r="13" spans="1:14" x14ac:dyDescent="0.3">
      <c r="A13">
        <v>1986</v>
      </c>
      <c r="B13">
        <v>2</v>
      </c>
      <c r="C13">
        <v>4</v>
      </c>
      <c r="D13">
        <v>5</v>
      </c>
      <c r="E13">
        <v>3</v>
      </c>
      <c r="F13">
        <v>4</v>
      </c>
      <c r="G13">
        <v>3</v>
      </c>
      <c r="H13">
        <v>3</v>
      </c>
      <c r="I13">
        <v>8</v>
      </c>
      <c r="J13">
        <v>3</v>
      </c>
      <c r="K13" s="2">
        <v>1</v>
      </c>
      <c r="L13" s="2">
        <v>8</v>
      </c>
      <c r="M13" s="2">
        <v>2</v>
      </c>
      <c r="N13">
        <f t="shared" si="0"/>
        <v>46</v>
      </c>
    </row>
    <row r="14" spans="1:14" x14ac:dyDescent="0.3">
      <c r="A14">
        <v>1987</v>
      </c>
      <c r="B14">
        <v>2</v>
      </c>
      <c r="C14">
        <v>4</v>
      </c>
      <c r="D14">
        <v>5</v>
      </c>
      <c r="E14">
        <v>3</v>
      </c>
      <c r="F14">
        <v>4</v>
      </c>
      <c r="G14">
        <v>3</v>
      </c>
      <c r="H14">
        <v>3</v>
      </c>
      <c r="I14">
        <v>8</v>
      </c>
      <c r="J14">
        <v>3</v>
      </c>
      <c r="K14" s="2">
        <v>1</v>
      </c>
      <c r="L14" s="2">
        <v>8</v>
      </c>
      <c r="M14" s="2">
        <v>2</v>
      </c>
      <c r="N14">
        <f t="shared" si="0"/>
        <v>46</v>
      </c>
    </row>
    <row r="15" spans="1:14" x14ac:dyDescent="0.3">
      <c r="A15">
        <v>1988</v>
      </c>
      <c r="B15">
        <v>2</v>
      </c>
      <c r="C15">
        <v>4</v>
      </c>
      <c r="D15">
        <v>5</v>
      </c>
      <c r="E15">
        <v>3</v>
      </c>
      <c r="F15">
        <v>4</v>
      </c>
      <c r="G15">
        <v>3</v>
      </c>
      <c r="H15">
        <v>3</v>
      </c>
      <c r="I15">
        <v>8</v>
      </c>
      <c r="J15">
        <v>3</v>
      </c>
      <c r="K15" s="2">
        <v>1</v>
      </c>
      <c r="L15" s="2">
        <v>8</v>
      </c>
      <c r="M15" s="2">
        <v>2</v>
      </c>
      <c r="N15">
        <f t="shared" si="0"/>
        <v>46</v>
      </c>
    </row>
    <row r="16" spans="1:14" x14ac:dyDescent="0.3">
      <c r="A16">
        <v>1989</v>
      </c>
      <c r="B16">
        <v>2</v>
      </c>
      <c r="C16">
        <v>4</v>
      </c>
      <c r="D16">
        <v>5</v>
      </c>
      <c r="E16">
        <v>3</v>
      </c>
      <c r="F16">
        <v>4</v>
      </c>
      <c r="G16">
        <v>3</v>
      </c>
      <c r="H16">
        <v>3</v>
      </c>
      <c r="I16">
        <v>8</v>
      </c>
      <c r="J16">
        <v>3</v>
      </c>
      <c r="K16" s="2">
        <v>1</v>
      </c>
      <c r="L16" s="2">
        <v>8</v>
      </c>
      <c r="M16" s="2">
        <v>2</v>
      </c>
      <c r="N16">
        <f t="shared" si="0"/>
        <v>46</v>
      </c>
    </row>
    <row r="17" spans="1:14" x14ac:dyDescent="0.3">
      <c r="A17">
        <v>1990</v>
      </c>
      <c r="B17">
        <v>2</v>
      </c>
      <c r="C17">
        <v>4</v>
      </c>
      <c r="D17">
        <v>5</v>
      </c>
      <c r="E17">
        <v>3</v>
      </c>
      <c r="F17">
        <v>4</v>
      </c>
      <c r="G17">
        <v>3</v>
      </c>
      <c r="H17">
        <v>3</v>
      </c>
      <c r="I17">
        <v>8</v>
      </c>
      <c r="J17">
        <v>3</v>
      </c>
      <c r="K17" s="2">
        <v>1</v>
      </c>
      <c r="L17" s="2">
        <v>8</v>
      </c>
      <c r="M17" s="2">
        <v>2</v>
      </c>
      <c r="N17">
        <f t="shared" si="0"/>
        <v>46</v>
      </c>
    </row>
    <row r="18" spans="1:14" x14ac:dyDescent="0.3">
      <c r="A18">
        <v>1991</v>
      </c>
      <c r="B18">
        <v>2</v>
      </c>
      <c r="C18">
        <v>4</v>
      </c>
      <c r="D18">
        <v>5</v>
      </c>
      <c r="E18">
        <v>3</v>
      </c>
      <c r="F18">
        <v>4</v>
      </c>
      <c r="G18">
        <v>3</v>
      </c>
      <c r="H18">
        <v>3</v>
      </c>
      <c r="I18">
        <v>8</v>
      </c>
      <c r="J18">
        <v>3</v>
      </c>
      <c r="K18" s="2">
        <v>1</v>
      </c>
      <c r="L18" s="2">
        <v>8</v>
      </c>
      <c r="M18" s="2">
        <v>2</v>
      </c>
      <c r="N18">
        <f t="shared" si="0"/>
        <v>46</v>
      </c>
    </row>
    <row r="19" spans="1:14" x14ac:dyDescent="0.3">
      <c r="A19">
        <v>1992</v>
      </c>
      <c r="B19">
        <v>5</v>
      </c>
      <c r="C19">
        <v>7</v>
      </c>
      <c r="D19">
        <v>9</v>
      </c>
      <c r="E19">
        <v>6</v>
      </c>
      <c r="F19">
        <v>8</v>
      </c>
      <c r="G19">
        <v>5</v>
      </c>
      <c r="H19">
        <v>11</v>
      </c>
      <c r="I19">
        <v>11</v>
      </c>
      <c r="J19">
        <v>6</v>
      </c>
      <c r="K19" s="2">
        <v>2</v>
      </c>
      <c r="L19" s="2">
        <v>11</v>
      </c>
      <c r="M19" s="2">
        <v>2</v>
      </c>
      <c r="N19">
        <f t="shared" si="0"/>
        <v>83</v>
      </c>
    </row>
    <row r="20" spans="1:14" x14ac:dyDescent="0.3">
      <c r="A20">
        <v>1993</v>
      </c>
      <c r="B20">
        <v>5</v>
      </c>
      <c r="C20">
        <v>7</v>
      </c>
      <c r="D20">
        <v>9</v>
      </c>
      <c r="E20">
        <v>6</v>
      </c>
      <c r="F20">
        <v>8</v>
      </c>
      <c r="G20">
        <v>6</v>
      </c>
      <c r="H20">
        <v>12</v>
      </c>
      <c r="I20">
        <v>11</v>
      </c>
      <c r="J20">
        <v>6</v>
      </c>
      <c r="K20" s="2">
        <v>2</v>
      </c>
      <c r="L20" s="2">
        <v>12</v>
      </c>
      <c r="M20" s="2">
        <v>2</v>
      </c>
      <c r="N20">
        <f t="shared" si="0"/>
        <v>86</v>
      </c>
    </row>
    <row r="21" spans="1:14" x14ac:dyDescent="0.3">
      <c r="A21">
        <v>1994</v>
      </c>
      <c r="B21">
        <v>5</v>
      </c>
      <c r="C21">
        <v>8</v>
      </c>
      <c r="D21">
        <v>9</v>
      </c>
      <c r="E21">
        <v>6</v>
      </c>
      <c r="F21">
        <v>8</v>
      </c>
      <c r="G21">
        <v>6</v>
      </c>
      <c r="H21">
        <v>12</v>
      </c>
      <c r="I21">
        <v>11</v>
      </c>
      <c r="J21">
        <v>6</v>
      </c>
      <c r="K21" s="2">
        <v>2</v>
      </c>
      <c r="L21" s="2">
        <v>13</v>
      </c>
      <c r="M21" s="2">
        <v>2</v>
      </c>
      <c r="N21">
        <f t="shared" si="0"/>
        <v>88</v>
      </c>
    </row>
    <row r="22" spans="1:14" x14ac:dyDescent="0.3">
      <c r="A22">
        <v>1995</v>
      </c>
      <c r="B22">
        <v>5</v>
      </c>
      <c r="C22">
        <v>8</v>
      </c>
      <c r="D22">
        <v>9</v>
      </c>
      <c r="E22">
        <v>6</v>
      </c>
      <c r="F22">
        <v>8</v>
      </c>
      <c r="G22">
        <v>6</v>
      </c>
      <c r="H22">
        <v>12</v>
      </c>
      <c r="I22">
        <v>11</v>
      </c>
      <c r="J22">
        <v>6</v>
      </c>
      <c r="K22" s="2">
        <v>2</v>
      </c>
      <c r="L22" s="2">
        <v>13</v>
      </c>
      <c r="M22" s="2">
        <v>2</v>
      </c>
      <c r="N22">
        <f t="shared" si="0"/>
        <v>88</v>
      </c>
    </row>
    <row r="23" spans="1:14" x14ac:dyDescent="0.3">
      <c r="A23">
        <v>1996</v>
      </c>
      <c r="B23">
        <v>5</v>
      </c>
      <c r="C23">
        <v>8</v>
      </c>
      <c r="D23">
        <v>9</v>
      </c>
      <c r="E23">
        <v>6</v>
      </c>
      <c r="F23">
        <v>8</v>
      </c>
      <c r="G23">
        <v>6</v>
      </c>
      <c r="H23">
        <v>12</v>
      </c>
      <c r="I23">
        <v>11</v>
      </c>
      <c r="J23">
        <v>6</v>
      </c>
      <c r="K23" s="2">
        <v>2</v>
      </c>
      <c r="L23" s="2">
        <v>13</v>
      </c>
      <c r="M23" s="2">
        <v>2</v>
      </c>
      <c r="N23">
        <f t="shared" si="0"/>
        <v>88</v>
      </c>
    </row>
    <row r="24" spans="1:14" x14ac:dyDescent="0.3">
      <c r="A24">
        <v>1997</v>
      </c>
      <c r="B24">
        <v>5</v>
      </c>
      <c r="C24">
        <v>8</v>
      </c>
      <c r="D24">
        <v>9</v>
      </c>
      <c r="E24">
        <v>6</v>
      </c>
      <c r="F24">
        <v>8</v>
      </c>
      <c r="G24">
        <v>6</v>
      </c>
      <c r="H24">
        <v>12</v>
      </c>
      <c r="I24">
        <v>11</v>
      </c>
      <c r="J24">
        <v>6</v>
      </c>
      <c r="K24" s="2">
        <v>2</v>
      </c>
      <c r="L24" s="2">
        <v>13</v>
      </c>
      <c r="M24" s="2">
        <v>2</v>
      </c>
      <c r="N24">
        <f t="shared" si="0"/>
        <v>88</v>
      </c>
    </row>
    <row r="25" spans="1:14" x14ac:dyDescent="0.3">
      <c r="A25">
        <v>1998</v>
      </c>
      <c r="B25">
        <v>5</v>
      </c>
      <c r="C25">
        <v>8</v>
      </c>
      <c r="D25">
        <v>9</v>
      </c>
      <c r="E25">
        <v>6</v>
      </c>
      <c r="F25">
        <v>8</v>
      </c>
      <c r="G25">
        <v>6</v>
      </c>
      <c r="H25">
        <v>12</v>
      </c>
      <c r="I25">
        <v>11</v>
      </c>
      <c r="J25">
        <v>6</v>
      </c>
      <c r="K25" s="2">
        <v>2</v>
      </c>
      <c r="L25" s="2">
        <v>13</v>
      </c>
      <c r="M25" s="2">
        <v>2</v>
      </c>
      <c r="N25">
        <f t="shared" si="0"/>
        <v>88</v>
      </c>
    </row>
    <row r="26" spans="1:14" x14ac:dyDescent="0.3">
      <c r="A26">
        <v>1999</v>
      </c>
      <c r="B26">
        <v>5</v>
      </c>
      <c r="C26">
        <v>8</v>
      </c>
      <c r="D26">
        <v>9</v>
      </c>
      <c r="E26">
        <v>6</v>
      </c>
      <c r="F26">
        <v>8</v>
      </c>
      <c r="G26">
        <v>6</v>
      </c>
      <c r="H26">
        <v>12</v>
      </c>
      <c r="I26">
        <v>11</v>
      </c>
      <c r="J26">
        <v>6</v>
      </c>
      <c r="K26" s="2">
        <v>2</v>
      </c>
      <c r="L26" s="2">
        <v>13</v>
      </c>
      <c r="M26" s="2">
        <v>2</v>
      </c>
      <c r="N26">
        <f t="shared" si="0"/>
        <v>88</v>
      </c>
    </row>
    <row r="27" spans="1:14" x14ac:dyDescent="0.3">
      <c r="A27">
        <v>2000</v>
      </c>
      <c r="B27">
        <v>5</v>
      </c>
      <c r="C27">
        <v>8</v>
      </c>
      <c r="D27">
        <v>9</v>
      </c>
      <c r="E27">
        <v>6</v>
      </c>
      <c r="F27">
        <v>8</v>
      </c>
      <c r="G27">
        <v>6</v>
      </c>
      <c r="H27">
        <v>12</v>
      </c>
      <c r="I27">
        <v>11</v>
      </c>
      <c r="J27">
        <v>6</v>
      </c>
      <c r="K27" s="2">
        <v>2</v>
      </c>
      <c r="L27" s="2">
        <v>13</v>
      </c>
      <c r="M27" s="2">
        <v>2</v>
      </c>
      <c r="N27">
        <f t="shared" si="0"/>
        <v>88</v>
      </c>
    </row>
    <row r="28" spans="1:14" x14ac:dyDescent="0.3">
      <c r="A28">
        <v>2001</v>
      </c>
      <c r="B28">
        <v>5</v>
      </c>
      <c r="C28">
        <v>8</v>
      </c>
      <c r="D28">
        <v>8</v>
      </c>
      <c r="E28">
        <v>7</v>
      </c>
      <c r="F28">
        <v>8</v>
      </c>
      <c r="G28">
        <v>6</v>
      </c>
      <c r="H28">
        <v>12</v>
      </c>
      <c r="I28">
        <v>11</v>
      </c>
      <c r="J28">
        <v>7</v>
      </c>
      <c r="K28" s="2">
        <v>2</v>
      </c>
      <c r="L28" s="2">
        <v>13</v>
      </c>
      <c r="M28" s="2">
        <v>2</v>
      </c>
      <c r="N28">
        <f t="shared" si="0"/>
        <v>89</v>
      </c>
    </row>
    <row r="29" spans="1:14" x14ac:dyDescent="0.3">
      <c r="A29">
        <v>2002</v>
      </c>
      <c r="B29">
        <v>5</v>
      </c>
      <c r="C29">
        <v>8</v>
      </c>
      <c r="D29">
        <v>8</v>
      </c>
      <c r="E29">
        <v>7</v>
      </c>
      <c r="F29">
        <v>8</v>
      </c>
      <c r="G29">
        <v>6</v>
      </c>
      <c r="H29">
        <v>11</v>
      </c>
      <c r="I29">
        <v>11</v>
      </c>
      <c r="J29">
        <v>7</v>
      </c>
      <c r="K29" s="2">
        <v>2</v>
      </c>
      <c r="L29" s="2">
        <v>13</v>
      </c>
      <c r="M29" s="2">
        <v>2</v>
      </c>
      <c r="N29">
        <f t="shared" si="0"/>
        <v>88</v>
      </c>
    </row>
    <row r="30" spans="1:14" x14ac:dyDescent="0.3">
      <c r="A30">
        <v>2003</v>
      </c>
      <c r="B30">
        <v>5</v>
      </c>
      <c r="C30">
        <v>8</v>
      </c>
      <c r="D30">
        <v>8</v>
      </c>
      <c r="E30">
        <v>7</v>
      </c>
      <c r="F30">
        <v>8</v>
      </c>
      <c r="G30">
        <v>6</v>
      </c>
      <c r="H30">
        <v>11</v>
      </c>
      <c r="I30">
        <v>11</v>
      </c>
      <c r="J30">
        <v>7</v>
      </c>
      <c r="K30" s="2">
        <v>2</v>
      </c>
      <c r="L30" s="2">
        <v>13</v>
      </c>
      <c r="M30" s="2">
        <v>2</v>
      </c>
      <c r="N30">
        <f t="shared" si="0"/>
        <v>88</v>
      </c>
    </row>
    <row r="31" spans="1:14" x14ac:dyDescent="0.3">
      <c r="A31">
        <v>2004</v>
      </c>
      <c r="B31">
        <v>5</v>
      </c>
      <c r="C31">
        <v>8</v>
      </c>
      <c r="D31">
        <v>8</v>
      </c>
      <c r="E31">
        <v>7</v>
      </c>
      <c r="F31">
        <v>8</v>
      </c>
      <c r="G31">
        <v>6</v>
      </c>
      <c r="H31">
        <v>13</v>
      </c>
      <c r="I31">
        <v>11</v>
      </c>
      <c r="J31">
        <v>7</v>
      </c>
      <c r="K31" s="2">
        <v>2</v>
      </c>
      <c r="L31" s="2">
        <v>13</v>
      </c>
      <c r="M31" s="2">
        <v>2</v>
      </c>
      <c r="N31">
        <f t="shared" si="0"/>
        <v>90</v>
      </c>
    </row>
    <row r="32" spans="1:14" x14ac:dyDescent="0.3">
      <c r="A32">
        <v>2005</v>
      </c>
      <c r="B32">
        <v>5</v>
      </c>
      <c r="C32">
        <v>10</v>
      </c>
      <c r="D32">
        <v>8</v>
      </c>
      <c r="E32">
        <v>8</v>
      </c>
      <c r="F32">
        <v>9</v>
      </c>
      <c r="G32">
        <v>6</v>
      </c>
      <c r="H32">
        <v>13</v>
      </c>
      <c r="I32">
        <v>15</v>
      </c>
      <c r="J32">
        <v>8</v>
      </c>
      <c r="K32" s="2">
        <v>3</v>
      </c>
      <c r="L32" s="2">
        <v>13</v>
      </c>
      <c r="M32" s="2">
        <v>2</v>
      </c>
      <c r="N32">
        <f t="shared" si="0"/>
        <v>100</v>
      </c>
    </row>
    <row r="33" spans="1:14" x14ac:dyDescent="0.3">
      <c r="A33">
        <v>2006</v>
      </c>
      <c r="B33">
        <v>5</v>
      </c>
      <c r="C33">
        <v>11</v>
      </c>
      <c r="D33">
        <v>9</v>
      </c>
      <c r="E33">
        <v>8</v>
      </c>
      <c r="F33">
        <v>9</v>
      </c>
      <c r="G33">
        <v>7</v>
      </c>
      <c r="H33">
        <v>13</v>
      </c>
      <c r="I33">
        <v>15</v>
      </c>
      <c r="J33">
        <v>8</v>
      </c>
      <c r="K33" s="2">
        <v>3</v>
      </c>
      <c r="L33" s="2">
        <v>13</v>
      </c>
      <c r="M33" s="2">
        <v>2</v>
      </c>
      <c r="N33">
        <f t="shared" si="0"/>
        <v>103</v>
      </c>
    </row>
    <row r="34" spans="1:14" x14ac:dyDescent="0.3">
      <c r="A34">
        <v>2007</v>
      </c>
      <c r="B34">
        <v>5</v>
      </c>
      <c r="C34">
        <v>12</v>
      </c>
      <c r="D34">
        <v>9</v>
      </c>
      <c r="E34">
        <v>8</v>
      </c>
      <c r="F34">
        <v>9</v>
      </c>
      <c r="G34">
        <v>7</v>
      </c>
      <c r="H34">
        <v>14</v>
      </c>
      <c r="I34">
        <v>16</v>
      </c>
      <c r="J34">
        <v>8</v>
      </c>
      <c r="K34" s="2">
        <v>6</v>
      </c>
      <c r="L34" s="2">
        <v>14</v>
      </c>
      <c r="M34" s="2">
        <v>2</v>
      </c>
      <c r="N34">
        <f t="shared" si="0"/>
        <v>110</v>
      </c>
    </row>
    <row r="35" spans="1:14" x14ac:dyDescent="0.3">
      <c r="A35">
        <v>2008</v>
      </c>
      <c r="B35">
        <v>5</v>
      </c>
      <c r="C35">
        <v>12</v>
      </c>
      <c r="D35">
        <v>9</v>
      </c>
      <c r="E35">
        <v>8</v>
      </c>
      <c r="F35">
        <v>9</v>
      </c>
      <c r="G35">
        <v>7</v>
      </c>
      <c r="H35">
        <v>14</v>
      </c>
      <c r="I35">
        <v>17</v>
      </c>
      <c r="J35">
        <v>8</v>
      </c>
      <c r="K35" s="2">
        <v>8</v>
      </c>
      <c r="L35" s="2">
        <v>14</v>
      </c>
      <c r="M35" s="2">
        <v>2</v>
      </c>
      <c r="N35">
        <f t="shared" si="0"/>
        <v>113</v>
      </c>
    </row>
    <row r="36" spans="1:14" x14ac:dyDescent="0.3">
      <c r="A36">
        <v>2009</v>
      </c>
      <c r="B36">
        <v>5</v>
      </c>
      <c r="C36">
        <v>12</v>
      </c>
      <c r="D36">
        <v>9</v>
      </c>
      <c r="E36">
        <v>8</v>
      </c>
      <c r="F36">
        <v>9</v>
      </c>
      <c r="G36">
        <v>7</v>
      </c>
      <c r="H36">
        <v>14</v>
      </c>
      <c r="I36">
        <v>17</v>
      </c>
      <c r="J36">
        <v>8</v>
      </c>
      <c r="K36" s="2">
        <v>8</v>
      </c>
      <c r="L36" s="2">
        <v>14</v>
      </c>
      <c r="M36" s="2">
        <v>2</v>
      </c>
      <c r="N36">
        <f t="shared" si="0"/>
        <v>113</v>
      </c>
    </row>
    <row r="37" spans="1:14" x14ac:dyDescent="0.3">
      <c r="A37">
        <v>2010</v>
      </c>
      <c r="B37">
        <v>5</v>
      </c>
      <c r="C37">
        <v>12</v>
      </c>
      <c r="D37">
        <v>9</v>
      </c>
      <c r="E37">
        <v>8</v>
      </c>
      <c r="F37">
        <v>9</v>
      </c>
      <c r="G37">
        <v>7</v>
      </c>
      <c r="H37">
        <v>14</v>
      </c>
      <c r="I37">
        <v>17</v>
      </c>
      <c r="J37">
        <v>8</v>
      </c>
      <c r="K37" s="2">
        <v>9</v>
      </c>
      <c r="L37" s="2">
        <v>14</v>
      </c>
      <c r="M37" s="2">
        <v>2</v>
      </c>
      <c r="N37">
        <f t="shared" si="0"/>
        <v>114</v>
      </c>
    </row>
    <row r="38" spans="1:14" x14ac:dyDescent="0.3">
      <c r="A38">
        <v>2011</v>
      </c>
      <c r="B38">
        <v>5</v>
      </c>
      <c r="C38">
        <v>12</v>
      </c>
      <c r="D38">
        <v>9</v>
      </c>
      <c r="E38">
        <v>8</v>
      </c>
      <c r="F38">
        <v>9</v>
      </c>
      <c r="G38">
        <v>7</v>
      </c>
      <c r="H38">
        <v>14</v>
      </c>
      <c r="I38">
        <v>17</v>
      </c>
      <c r="J38">
        <v>8</v>
      </c>
      <c r="K38" s="2">
        <v>9</v>
      </c>
      <c r="L38" s="2">
        <v>15</v>
      </c>
      <c r="M38" s="2">
        <v>2</v>
      </c>
      <c r="N38">
        <f t="shared" si="0"/>
        <v>115</v>
      </c>
    </row>
    <row r="39" spans="1:14" x14ac:dyDescent="0.3">
      <c r="A39">
        <v>2012</v>
      </c>
      <c r="B39">
        <v>5</v>
      </c>
      <c r="C39">
        <v>12</v>
      </c>
      <c r="D39">
        <v>10</v>
      </c>
      <c r="E39">
        <v>9</v>
      </c>
      <c r="F39">
        <v>12</v>
      </c>
      <c r="G39">
        <v>8</v>
      </c>
      <c r="H39">
        <v>14</v>
      </c>
      <c r="I39">
        <v>18</v>
      </c>
      <c r="J39">
        <v>11</v>
      </c>
      <c r="K39" s="2">
        <v>9</v>
      </c>
      <c r="L39" s="2">
        <v>15</v>
      </c>
      <c r="M39" s="2">
        <v>2</v>
      </c>
      <c r="N39">
        <f t="shared" si="0"/>
        <v>125</v>
      </c>
    </row>
    <row r="40" spans="1:14" x14ac:dyDescent="0.3">
      <c r="A40">
        <v>2013</v>
      </c>
      <c r="B40">
        <v>5</v>
      </c>
      <c r="C40">
        <v>12</v>
      </c>
      <c r="D40">
        <v>10</v>
      </c>
      <c r="E40">
        <v>9</v>
      </c>
      <c r="F40">
        <v>12</v>
      </c>
      <c r="G40">
        <v>8</v>
      </c>
      <c r="H40">
        <v>16</v>
      </c>
      <c r="I40">
        <v>18</v>
      </c>
      <c r="J40">
        <v>12</v>
      </c>
      <c r="K40" s="2">
        <v>8</v>
      </c>
      <c r="L40" s="2">
        <v>15</v>
      </c>
      <c r="M40" s="2">
        <v>2</v>
      </c>
      <c r="N40">
        <f t="shared" si="0"/>
        <v>127</v>
      </c>
    </row>
    <row r="41" spans="1:14" x14ac:dyDescent="0.3">
      <c r="A41">
        <v>2014</v>
      </c>
      <c r="B41">
        <v>5</v>
      </c>
      <c r="C41">
        <v>12</v>
      </c>
      <c r="D41">
        <v>10</v>
      </c>
      <c r="E41">
        <v>9</v>
      </c>
      <c r="F41">
        <v>12</v>
      </c>
      <c r="G41">
        <v>8</v>
      </c>
      <c r="H41">
        <v>17</v>
      </c>
      <c r="I41">
        <v>18</v>
      </c>
      <c r="J41">
        <v>12</v>
      </c>
      <c r="K41" s="2">
        <v>8</v>
      </c>
      <c r="L41" s="2">
        <v>15</v>
      </c>
      <c r="M41" s="2">
        <v>2</v>
      </c>
      <c r="N41">
        <f t="shared" si="0"/>
        <v>128</v>
      </c>
    </row>
    <row r="42" spans="1:14" x14ac:dyDescent="0.3">
      <c r="A42">
        <v>2015</v>
      </c>
      <c r="B42">
        <v>5</v>
      </c>
      <c r="C42">
        <v>12</v>
      </c>
      <c r="D42">
        <v>10</v>
      </c>
      <c r="E42">
        <v>9</v>
      </c>
      <c r="F42">
        <v>13</v>
      </c>
      <c r="G42">
        <v>8</v>
      </c>
      <c r="H42">
        <v>17</v>
      </c>
      <c r="I42">
        <v>18</v>
      </c>
      <c r="J42">
        <v>12</v>
      </c>
      <c r="K42" s="2">
        <v>8</v>
      </c>
      <c r="L42" s="2">
        <v>15</v>
      </c>
      <c r="M42" s="2">
        <v>2</v>
      </c>
      <c r="N42">
        <f t="shared" si="0"/>
        <v>129</v>
      </c>
    </row>
    <row r="43" spans="1:14" x14ac:dyDescent="0.3">
      <c r="A43">
        <v>2016</v>
      </c>
      <c r="B43">
        <v>5</v>
      </c>
      <c r="C43">
        <v>12</v>
      </c>
      <c r="D43">
        <v>10</v>
      </c>
      <c r="E43">
        <v>9</v>
      </c>
      <c r="F43">
        <v>13</v>
      </c>
      <c r="G43">
        <v>9</v>
      </c>
      <c r="H43">
        <v>16</v>
      </c>
      <c r="I43">
        <v>18</v>
      </c>
      <c r="J43">
        <v>12</v>
      </c>
      <c r="K43" s="2">
        <v>8</v>
      </c>
      <c r="L43" s="2">
        <v>15</v>
      </c>
      <c r="M43" s="2">
        <v>2</v>
      </c>
      <c r="N43">
        <f t="shared" si="0"/>
        <v>129</v>
      </c>
    </row>
    <row r="44" spans="1:14" x14ac:dyDescent="0.3">
      <c r="A44">
        <v>2017</v>
      </c>
      <c r="B44">
        <v>5</v>
      </c>
      <c r="C44">
        <v>12</v>
      </c>
      <c r="D44">
        <v>11</v>
      </c>
      <c r="E44">
        <v>9</v>
      </c>
      <c r="F44">
        <v>13</v>
      </c>
      <c r="G44">
        <v>9</v>
      </c>
      <c r="H44">
        <v>16</v>
      </c>
      <c r="I44">
        <v>18</v>
      </c>
      <c r="J44">
        <v>12</v>
      </c>
      <c r="K44" s="2">
        <v>8</v>
      </c>
      <c r="L44" s="2">
        <v>15</v>
      </c>
      <c r="M44" s="2">
        <v>2</v>
      </c>
      <c r="N44">
        <f t="shared" si="0"/>
        <v>130</v>
      </c>
    </row>
    <row r="45" spans="1:14" x14ac:dyDescent="0.3">
      <c r="A45">
        <v>2018</v>
      </c>
      <c r="B45">
        <v>5</v>
      </c>
      <c r="C45">
        <v>12</v>
      </c>
      <c r="D45">
        <v>11</v>
      </c>
      <c r="E45">
        <v>9</v>
      </c>
      <c r="F45">
        <v>13</v>
      </c>
      <c r="G45">
        <v>9</v>
      </c>
      <c r="H45">
        <v>17</v>
      </c>
      <c r="I45">
        <v>18</v>
      </c>
      <c r="J45">
        <v>13</v>
      </c>
      <c r="K45" s="2">
        <v>8</v>
      </c>
      <c r="L45" s="2">
        <v>15</v>
      </c>
      <c r="M45" s="2">
        <v>2</v>
      </c>
      <c r="N45">
        <f t="shared" si="0"/>
        <v>132</v>
      </c>
    </row>
    <row r="46" spans="1:14" x14ac:dyDescent="0.3">
      <c r="A46">
        <v>2019</v>
      </c>
      <c r="B46">
        <v>5</v>
      </c>
      <c r="C46">
        <v>12</v>
      </c>
      <c r="D46">
        <v>11</v>
      </c>
      <c r="E46">
        <v>9</v>
      </c>
      <c r="F46">
        <v>13</v>
      </c>
      <c r="G46">
        <v>9</v>
      </c>
      <c r="H46">
        <v>18</v>
      </c>
      <c r="I46">
        <v>18</v>
      </c>
      <c r="J46">
        <v>13</v>
      </c>
      <c r="K46" s="2">
        <v>8</v>
      </c>
      <c r="L46" s="2">
        <v>15</v>
      </c>
      <c r="M46" s="2">
        <v>2</v>
      </c>
      <c r="N46">
        <f t="shared" si="0"/>
        <v>133</v>
      </c>
    </row>
    <row r="47" spans="1:14" x14ac:dyDescent="0.3">
      <c r="A47">
        <v>2020</v>
      </c>
      <c r="B47">
        <v>5</v>
      </c>
      <c r="C47">
        <v>12</v>
      </c>
      <c r="D47">
        <v>11</v>
      </c>
      <c r="E47">
        <v>9</v>
      </c>
      <c r="F47">
        <v>13</v>
      </c>
      <c r="G47">
        <v>9</v>
      </c>
      <c r="H47">
        <v>18</v>
      </c>
      <c r="I47">
        <v>18</v>
      </c>
      <c r="J47">
        <v>13</v>
      </c>
      <c r="K47" s="2">
        <v>8</v>
      </c>
      <c r="L47" s="2">
        <v>15</v>
      </c>
      <c r="M47" s="2">
        <v>2</v>
      </c>
      <c r="N47">
        <f t="shared" si="0"/>
        <v>133</v>
      </c>
    </row>
    <row r="48" spans="1:14" x14ac:dyDescent="0.3">
      <c r="A48">
        <v>2021</v>
      </c>
      <c r="B48">
        <v>5</v>
      </c>
      <c r="C48">
        <v>12</v>
      </c>
      <c r="D48">
        <v>11</v>
      </c>
      <c r="E48">
        <v>9</v>
      </c>
      <c r="F48">
        <v>13</v>
      </c>
      <c r="G48">
        <v>9</v>
      </c>
      <c r="H48">
        <v>18</v>
      </c>
      <c r="I48">
        <v>18</v>
      </c>
      <c r="J48">
        <v>13</v>
      </c>
      <c r="K48" s="2">
        <v>8</v>
      </c>
      <c r="L48" s="2">
        <v>15</v>
      </c>
      <c r="M48" s="2">
        <v>2</v>
      </c>
      <c r="N48">
        <f t="shared" si="0"/>
        <v>133</v>
      </c>
    </row>
    <row r="49" spans="1:14" x14ac:dyDescent="0.3">
      <c r="A49">
        <v>2022</v>
      </c>
      <c r="B49">
        <v>5</v>
      </c>
      <c r="C49">
        <v>12</v>
      </c>
      <c r="D49">
        <v>11</v>
      </c>
      <c r="E49">
        <v>9</v>
      </c>
      <c r="F49">
        <v>13</v>
      </c>
      <c r="G49">
        <v>9</v>
      </c>
      <c r="H49">
        <v>21</v>
      </c>
      <c r="I49">
        <v>20</v>
      </c>
      <c r="J49">
        <v>14</v>
      </c>
      <c r="K49" s="2">
        <v>8</v>
      </c>
      <c r="L49" s="2">
        <v>15</v>
      </c>
      <c r="M49" s="2">
        <v>2</v>
      </c>
      <c r="N49">
        <f t="shared" si="0"/>
        <v>139</v>
      </c>
    </row>
    <row r="50" spans="1:14" x14ac:dyDescent="0.3">
      <c r="A50">
        <v>2023</v>
      </c>
      <c r="B50">
        <v>5</v>
      </c>
      <c r="C50">
        <v>12</v>
      </c>
      <c r="D50">
        <v>11</v>
      </c>
      <c r="E50">
        <v>9</v>
      </c>
      <c r="F50">
        <v>13</v>
      </c>
      <c r="G50">
        <v>9</v>
      </c>
      <c r="H50">
        <v>28</v>
      </c>
      <c r="I50">
        <v>20</v>
      </c>
      <c r="J50">
        <v>14</v>
      </c>
      <c r="K50" s="2">
        <v>8</v>
      </c>
      <c r="L50" s="2">
        <v>15</v>
      </c>
      <c r="M50" s="2">
        <v>2</v>
      </c>
      <c r="N50">
        <f t="shared" si="0"/>
        <v>146</v>
      </c>
    </row>
    <row r="51" spans="1:14" x14ac:dyDescent="0.3">
      <c r="A51">
        <v>2024</v>
      </c>
      <c r="B51">
        <v>5</v>
      </c>
      <c r="C51">
        <v>12</v>
      </c>
      <c r="D51">
        <v>11</v>
      </c>
      <c r="E51">
        <v>9</v>
      </c>
      <c r="F51">
        <v>13</v>
      </c>
      <c r="G51">
        <v>9</v>
      </c>
      <c r="H51">
        <v>28</v>
      </c>
      <c r="I51">
        <v>20</v>
      </c>
      <c r="J51">
        <v>15</v>
      </c>
      <c r="K51" s="2">
        <v>8</v>
      </c>
      <c r="L51" s="2">
        <v>15</v>
      </c>
      <c r="M51" s="2">
        <v>2</v>
      </c>
      <c r="N51">
        <f t="shared" si="0"/>
        <v>147</v>
      </c>
    </row>
    <row r="52" spans="1:14" x14ac:dyDescent="0.3">
      <c r="A52">
        <v>2025</v>
      </c>
      <c r="B52">
        <v>5</v>
      </c>
      <c r="C52">
        <v>12</v>
      </c>
      <c r="D52">
        <v>11</v>
      </c>
      <c r="E52">
        <v>9</v>
      </c>
      <c r="F52">
        <v>13</v>
      </c>
      <c r="G52">
        <v>9</v>
      </c>
      <c r="H52">
        <v>28</v>
      </c>
      <c r="I52">
        <v>20</v>
      </c>
      <c r="J52">
        <v>15</v>
      </c>
      <c r="K52" s="2">
        <v>8</v>
      </c>
      <c r="L52" s="2">
        <v>15</v>
      </c>
      <c r="M52" s="2">
        <v>2</v>
      </c>
      <c r="N52">
        <f t="shared" si="0"/>
        <v>147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CDF94-41D9-4A18-9488-E1A13C4929E2}">
  <dimension ref="A1:N52"/>
  <sheetViews>
    <sheetView topLeftCell="A37" workbookViewId="0">
      <selection activeCell="O40" sqref="O40"/>
    </sheetView>
  </sheetViews>
  <sheetFormatPr defaultRowHeight="14.4" x14ac:dyDescent="0.3"/>
  <cols>
    <col min="2" max="3" width="11.5546875" bestFit="1" customWidth="1"/>
    <col min="4" max="4" width="11.21875" customWidth="1"/>
    <col min="5" max="5" width="10.88671875" customWidth="1"/>
    <col min="6" max="6" width="13" customWidth="1"/>
    <col min="7" max="10" width="11.5546875" bestFit="1" customWidth="1"/>
    <col min="11" max="11" width="12" bestFit="1" customWidth="1"/>
    <col min="14" max="14" width="11" bestFit="1" customWidth="1"/>
  </cols>
  <sheetData>
    <row r="1" spans="1:14" x14ac:dyDescent="0.3">
      <c r="A1" s="1" t="s">
        <v>9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0</v>
      </c>
      <c r="H1" s="1" t="s">
        <v>1</v>
      </c>
      <c r="I1" s="1" t="s">
        <v>7</v>
      </c>
      <c r="J1" s="1" t="s">
        <v>8</v>
      </c>
      <c r="K1" s="5" t="s">
        <v>11</v>
      </c>
      <c r="L1" s="5" t="s">
        <v>12</v>
      </c>
      <c r="M1" s="5" t="s">
        <v>13</v>
      </c>
    </row>
    <row r="2" spans="1:14" x14ac:dyDescent="0.3">
      <c r="A2">
        <v>1975</v>
      </c>
      <c r="B2" s="4">
        <f t="shared" ref="B2:B6" si="0">AVERAGE(B3:B7)</f>
        <v>2622118.8801279999</v>
      </c>
      <c r="C2" s="4">
        <f t="shared" ref="C2:C6" si="1">AVERAGE(C3:C7)</f>
        <v>6899633.5175679997</v>
      </c>
      <c r="D2" s="4">
        <f t="shared" ref="D2:D6" si="2">AVERAGE(D3:D7)</f>
        <v>4906197.7786880005</v>
      </c>
      <c r="E2" s="4">
        <f t="shared" ref="E2:E6" si="3">AVERAGE(E3:E7)</f>
        <v>3857286.6853760006</v>
      </c>
      <c r="F2" s="4">
        <f t="shared" ref="F2:F6" si="4">AVERAGE(F3:F7)</f>
        <v>5179813.3682559999</v>
      </c>
      <c r="G2" s="4">
        <f t="shared" ref="G2:G6" si="5">AVERAGE(G3:G7)</f>
        <v>4889267.3162240004</v>
      </c>
      <c r="H2" s="4">
        <f t="shared" ref="H2:H6" si="6">AVERAGE(H3:H7)</f>
        <v>6761130.3383040009</v>
      </c>
      <c r="I2" s="4">
        <f t="shared" ref="I2:I6" si="7">AVERAGE(I3:I7)</f>
        <v>7295459.8259839993</v>
      </c>
      <c r="J2" s="4">
        <f t="shared" ref="J2:J6" si="8">AVERAGE(J3:J7)</f>
        <v>4418880.1919999998</v>
      </c>
      <c r="K2">
        <v>2795400</v>
      </c>
      <c r="L2">
        <v>5232400</v>
      </c>
      <c r="M2">
        <v>1523500</v>
      </c>
      <c r="N2" s="4">
        <f>SUM(B2:M2)</f>
        <v>56381087.902528003</v>
      </c>
    </row>
    <row r="3" spans="1:14" x14ac:dyDescent="0.3">
      <c r="A3">
        <v>1976</v>
      </c>
      <c r="B3" s="4">
        <f t="shared" si="0"/>
        <v>2624464.7334400001</v>
      </c>
      <c r="C3" s="4">
        <f t="shared" si="1"/>
        <v>6906415.2646400006</v>
      </c>
      <c r="D3" s="4">
        <f t="shared" si="2"/>
        <v>4908253.4822400007</v>
      </c>
      <c r="E3" s="4">
        <f t="shared" si="3"/>
        <v>3856519.40448</v>
      </c>
      <c r="F3" s="4">
        <f t="shared" si="4"/>
        <v>5180951.30688</v>
      </c>
      <c r="G3" s="4">
        <f t="shared" si="5"/>
        <v>4883554.7635200005</v>
      </c>
      <c r="H3" s="4">
        <f t="shared" si="6"/>
        <v>6761789.2819200009</v>
      </c>
      <c r="I3" s="4">
        <f t="shared" si="7"/>
        <v>7286725.6883199988</v>
      </c>
      <c r="J3" s="4">
        <f t="shared" si="8"/>
        <v>4412964.16</v>
      </c>
      <c r="K3">
        <v>2799300</v>
      </c>
      <c r="L3">
        <v>5233400</v>
      </c>
      <c r="M3">
        <v>1523500</v>
      </c>
      <c r="N3" s="4">
        <f t="shared" ref="N3:N52" si="9">SUM(B3:M3)</f>
        <v>56377838.085439995</v>
      </c>
    </row>
    <row r="4" spans="1:14" x14ac:dyDescent="0.3">
      <c r="A4">
        <v>1977</v>
      </c>
      <c r="B4" s="4">
        <f t="shared" si="0"/>
        <v>2624428.6112000002</v>
      </c>
      <c r="C4" s="4">
        <f t="shared" si="1"/>
        <v>6906567.3872000007</v>
      </c>
      <c r="D4" s="4">
        <f t="shared" si="2"/>
        <v>4908039.2352</v>
      </c>
      <c r="E4" s="4">
        <f t="shared" si="3"/>
        <v>3855331.6703999997</v>
      </c>
      <c r="F4" s="4">
        <f t="shared" si="4"/>
        <v>5180617.4223999996</v>
      </c>
      <c r="G4" s="4">
        <f t="shared" si="5"/>
        <v>4881748.9696000004</v>
      </c>
      <c r="H4" s="4">
        <f t="shared" si="6"/>
        <v>6762338.4016000004</v>
      </c>
      <c r="I4" s="4">
        <f t="shared" si="7"/>
        <v>7284477.0735999998</v>
      </c>
      <c r="J4" s="4">
        <f t="shared" si="8"/>
        <v>4410705.8</v>
      </c>
      <c r="K4">
        <v>2800600</v>
      </c>
      <c r="L4">
        <v>5226200</v>
      </c>
      <c r="M4">
        <v>1523300</v>
      </c>
      <c r="N4" s="4">
        <f t="shared" si="9"/>
        <v>56364354.571200006</v>
      </c>
    </row>
    <row r="5" spans="1:14" x14ac:dyDescent="0.3">
      <c r="A5">
        <v>1978</v>
      </c>
      <c r="B5" s="4">
        <f t="shared" si="0"/>
        <v>2623166.176</v>
      </c>
      <c r="C5" s="4">
        <f t="shared" si="1"/>
        <v>6902296.6560000004</v>
      </c>
      <c r="D5" s="4">
        <f t="shared" si="2"/>
        <v>4907115.6960000005</v>
      </c>
      <c r="E5" s="4">
        <f t="shared" si="3"/>
        <v>3855223.392</v>
      </c>
      <c r="F5" s="4">
        <f t="shared" si="4"/>
        <v>5179626.352</v>
      </c>
      <c r="G5" s="4">
        <f t="shared" si="5"/>
        <v>4885052.8080000002</v>
      </c>
      <c r="H5" s="4">
        <f t="shared" si="6"/>
        <v>6760780.1680000005</v>
      </c>
      <c r="I5" s="4">
        <f t="shared" si="7"/>
        <v>7287561.7280000001</v>
      </c>
      <c r="J5" s="4">
        <f t="shared" si="8"/>
        <v>4413338</v>
      </c>
      <c r="K5">
        <v>2804300</v>
      </c>
      <c r="L5">
        <v>5212300</v>
      </c>
      <c r="M5">
        <v>1523200</v>
      </c>
      <c r="N5" s="4">
        <f t="shared" si="9"/>
        <v>56353960.975999996</v>
      </c>
    </row>
    <row r="6" spans="1:14" x14ac:dyDescent="0.3">
      <c r="A6">
        <v>1979</v>
      </c>
      <c r="B6" s="4">
        <f t="shared" si="0"/>
        <v>2620865.48</v>
      </c>
      <c r="C6" s="4">
        <f t="shared" si="1"/>
        <v>6895402.8799999999</v>
      </c>
      <c r="D6" s="4">
        <f t="shared" si="2"/>
        <v>4905072.08</v>
      </c>
      <c r="E6" s="4">
        <f t="shared" si="3"/>
        <v>3857150.16</v>
      </c>
      <c r="F6" s="4">
        <f t="shared" si="4"/>
        <v>5178699.96</v>
      </c>
      <c r="G6" s="4">
        <f t="shared" si="5"/>
        <v>4892009.84</v>
      </c>
      <c r="H6" s="4">
        <f t="shared" si="6"/>
        <v>6759769.6400000006</v>
      </c>
      <c r="I6" s="4">
        <f t="shared" si="7"/>
        <v>7299770.4400000004</v>
      </c>
      <c r="J6" s="4">
        <f t="shared" si="8"/>
        <v>4421801</v>
      </c>
      <c r="K6">
        <v>2810100</v>
      </c>
      <c r="L6">
        <v>5203600</v>
      </c>
      <c r="M6">
        <v>1528300</v>
      </c>
      <c r="N6" s="4">
        <f t="shared" si="9"/>
        <v>56372541.480000004</v>
      </c>
    </row>
    <row r="7" spans="1:14" x14ac:dyDescent="0.3">
      <c r="A7">
        <v>1980</v>
      </c>
      <c r="B7" s="4">
        <f>AVERAGE(B8:B12)</f>
        <v>2617669.4</v>
      </c>
      <c r="C7" s="4">
        <f t="shared" ref="C7:J7" si="10">AVERAGE(C8:C12)</f>
        <v>6887485.4000000004</v>
      </c>
      <c r="D7" s="4">
        <f t="shared" si="10"/>
        <v>4902508.4000000004</v>
      </c>
      <c r="E7" s="4">
        <f t="shared" si="10"/>
        <v>3862208.8</v>
      </c>
      <c r="F7" s="4">
        <f>AVERAGE(F8:F12)</f>
        <v>5179171.8</v>
      </c>
      <c r="G7" s="4">
        <f>AVERAGE(G8:G12)</f>
        <v>4903970.2</v>
      </c>
      <c r="H7" s="4">
        <f>AVERAGE(H8:H12)</f>
        <v>6760974.2000000002</v>
      </c>
      <c r="I7" s="4">
        <f>AVERAGE(I8:I12)</f>
        <v>7318764.2000000002</v>
      </c>
      <c r="J7" s="4">
        <f t="shared" si="10"/>
        <v>4435592</v>
      </c>
      <c r="K7">
        <v>2815800</v>
      </c>
      <c r="L7">
        <v>5193900</v>
      </c>
      <c r="M7">
        <v>1532800</v>
      </c>
      <c r="N7" s="4">
        <f t="shared" si="9"/>
        <v>56410844.400000006</v>
      </c>
    </row>
    <row r="8" spans="1:14" x14ac:dyDescent="0.3">
      <c r="A8">
        <v>1981</v>
      </c>
      <c r="B8">
        <v>2636194</v>
      </c>
      <c r="C8">
        <v>6940324</v>
      </c>
      <c r="D8">
        <v>4918532</v>
      </c>
      <c r="E8">
        <v>3852683</v>
      </c>
      <c r="F8">
        <v>5186641</v>
      </c>
      <c r="G8">
        <v>4854992</v>
      </c>
      <c r="H8">
        <v>6765084</v>
      </c>
      <c r="I8">
        <v>7243055</v>
      </c>
      <c r="J8">
        <v>4383384</v>
      </c>
      <c r="K8">
        <v>2813500</v>
      </c>
      <c r="L8">
        <v>5180200</v>
      </c>
      <c r="M8">
        <v>1543000</v>
      </c>
      <c r="N8" s="4">
        <f t="shared" si="9"/>
        <v>56317589</v>
      </c>
    </row>
    <row r="9" spans="1:14" x14ac:dyDescent="0.3">
      <c r="A9">
        <v>1982</v>
      </c>
      <c r="B9">
        <v>2624248</v>
      </c>
      <c r="C9">
        <v>6907328</v>
      </c>
      <c r="D9">
        <v>4906968</v>
      </c>
      <c r="E9">
        <v>3849393</v>
      </c>
      <c r="F9">
        <v>5178948</v>
      </c>
      <c r="G9">
        <v>4872720</v>
      </c>
      <c r="H9">
        <v>6765084</v>
      </c>
      <c r="I9">
        <v>7273234</v>
      </c>
      <c r="J9">
        <v>4399414</v>
      </c>
      <c r="K9">
        <v>2804300</v>
      </c>
      <c r="L9">
        <v>5164500</v>
      </c>
      <c r="M9">
        <v>1544500</v>
      </c>
      <c r="N9" s="4">
        <f t="shared" si="9"/>
        <v>56290637</v>
      </c>
    </row>
    <row r="10" spans="1:14" x14ac:dyDescent="0.3">
      <c r="A10">
        <v>1983</v>
      </c>
      <c r="B10">
        <v>2616854</v>
      </c>
      <c r="C10">
        <v>6880943</v>
      </c>
      <c r="D10">
        <v>4902498</v>
      </c>
      <c r="E10">
        <v>3854682</v>
      </c>
      <c r="F10">
        <v>5174671</v>
      </c>
      <c r="G10">
        <v>4901572</v>
      </c>
      <c r="H10">
        <v>6752989</v>
      </c>
      <c r="I10">
        <v>7302985</v>
      </c>
      <c r="J10">
        <v>4426499</v>
      </c>
      <c r="K10">
        <v>2803300</v>
      </c>
      <c r="L10">
        <v>5148100</v>
      </c>
      <c r="M10">
        <v>1550600</v>
      </c>
      <c r="N10" s="4">
        <f t="shared" si="9"/>
        <v>56315693</v>
      </c>
    </row>
    <row r="11" spans="1:14" x14ac:dyDescent="0.3">
      <c r="A11">
        <v>1984</v>
      </c>
      <c r="B11">
        <v>2609362</v>
      </c>
      <c r="C11">
        <v>6860934</v>
      </c>
      <c r="D11">
        <v>4894854</v>
      </c>
      <c r="E11">
        <v>3866784</v>
      </c>
      <c r="F11">
        <v>5174068</v>
      </c>
      <c r="G11">
        <v>4926795</v>
      </c>
      <c r="H11">
        <v>6754717</v>
      </c>
      <c r="I11">
        <v>7360814</v>
      </c>
      <c r="J11">
        <v>4464116</v>
      </c>
      <c r="K11">
        <v>2800700</v>
      </c>
      <c r="L11">
        <v>5138900</v>
      </c>
      <c r="M11">
        <v>1557300</v>
      </c>
      <c r="N11" s="4">
        <f t="shared" si="9"/>
        <v>56409344</v>
      </c>
    </row>
    <row r="12" spans="1:14" x14ac:dyDescent="0.3">
      <c r="A12">
        <v>1985</v>
      </c>
      <c r="B12">
        <v>2601689</v>
      </c>
      <c r="C12">
        <v>6847898</v>
      </c>
      <c r="D12">
        <v>4889690</v>
      </c>
      <c r="E12">
        <v>3887502</v>
      </c>
      <c r="F12">
        <v>5181531</v>
      </c>
      <c r="G12">
        <v>4963772</v>
      </c>
      <c r="H12">
        <v>6766997</v>
      </c>
      <c r="I12">
        <v>7413733</v>
      </c>
      <c r="J12">
        <v>4504547</v>
      </c>
      <c r="K12">
        <v>2803400</v>
      </c>
      <c r="L12">
        <v>5127900</v>
      </c>
      <c r="M12">
        <v>1565400</v>
      </c>
      <c r="N12" s="4">
        <f t="shared" si="9"/>
        <v>56554059</v>
      </c>
    </row>
    <row r="13" spans="1:14" x14ac:dyDescent="0.3">
      <c r="A13">
        <v>1986</v>
      </c>
      <c r="B13">
        <v>2594213</v>
      </c>
      <c r="C13">
        <v>6832680</v>
      </c>
      <c r="D13">
        <v>4883634</v>
      </c>
      <c r="E13">
        <v>3907811</v>
      </c>
      <c r="F13">
        <v>5179950</v>
      </c>
      <c r="G13">
        <v>4999268</v>
      </c>
      <c r="H13">
        <v>6774202</v>
      </c>
      <c r="I13">
        <v>7468272</v>
      </c>
      <c r="J13">
        <v>4547613</v>
      </c>
      <c r="K13">
        <v>2810900</v>
      </c>
      <c r="L13">
        <v>5111800</v>
      </c>
      <c r="M13">
        <v>1573500</v>
      </c>
      <c r="N13" s="4">
        <f t="shared" si="9"/>
        <v>56683843</v>
      </c>
    </row>
    <row r="14" spans="1:14" x14ac:dyDescent="0.3">
      <c r="A14">
        <v>1987</v>
      </c>
      <c r="B14">
        <v>2589779</v>
      </c>
      <c r="C14">
        <v>6820667</v>
      </c>
      <c r="D14">
        <v>4879150</v>
      </c>
      <c r="E14">
        <v>3925293</v>
      </c>
      <c r="F14">
        <v>5194570</v>
      </c>
      <c r="G14">
        <v>5030759</v>
      </c>
      <c r="H14">
        <v>6765557</v>
      </c>
      <c r="I14">
        <v>7505040</v>
      </c>
      <c r="J14">
        <v>4589604</v>
      </c>
      <c r="K14">
        <v>2822600</v>
      </c>
      <c r="L14">
        <v>5099000</v>
      </c>
      <c r="M14">
        <v>1582000</v>
      </c>
      <c r="N14" s="4">
        <f t="shared" si="9"/>
        <v>56804019</v>
      </c>
    </row>
    <row r="15" spans="1:14" x14ac:dyDescent="0.3">
      <c r="A15">
        <v>1988</v>
      </c>
      <c r="B15">
        <v>2582285</v>
      </c>
      <c r="C15">
        <v>6811642</v>
      </c>
      <c r="D15">
        <v>4888711</v>
      </c>
      <c r="E15">
        <v>3950708</v>
      </c>
      <c r="F15">
        <v>5204005</v>
      </c>
      <c r="G15">
        <v>5059695</v>
      </c>
      <c r="H15">
        <v>6729336</v>
      </c>
      <c r="I15">
        <v>7550554</v>
      </c>
      <c r="J15">
        <v>4635406</v>
      </c>
      <c r="K15">
        <v>2841200</v>
      </c>
      <c r="L15">
        <v>5077400</v>
      </c>
      <c r="M15">
        <v>1585400</v>
      </c>
      <c r="N15" s="4">
        <f t="shared" si="9"/>
        <v>56916342</v>
      </c>
    </row>
    <row r="16" spans="1:14" x14ac:dyDescent="0.3">
      <c r="A16">
        <v>1989</v>
      </c>
      <c r="B16">
        <v>2582114</v>
      </c>
      <c r="C16">
        <v>6824728</v>
      </c>
      <c r="D16">
        <v>4912364</v>
      </c>
      <c r="E16">
        <v>3976079</v>
      </c>
      <c r="F16">
        <v>5213605</v>
      </c>
      <c r="G16">
        <v>5070133</v>
      </c>
      <c r="H16">
        <v>6751562</v>
      </c>
      <c r="I16">
        <v>7568528</v>
      </c>
      <c r="J16">
        <v>4653538</v>
      </c>
      <c r="K16">
        <v>2855200</v>
      </c>
      <c r="L16">
        <v>5078200</v>
      </c>
      <c r="M16">
        <v>1590400</v>
      </c>
      <c r="N16" s="4">
        <f t="shared" si="9"/>
        <v>57076451</v>
      </c>
    </row>
    <row r="17" spans="1:14" x14ac:dyDescent="0.3">
      <c r="A17">
        <v>1990</v>
      </c>
      <c r="B17">
        <v>2584320</v>
      </c>
      <c r="C17">
        <v>6829393</v>
      </c>
      <c r="D17">
        <v>4921028</v>
      </c>
      <c r="E17">
        <v>3992976</v>
      </c>
      <c r="F17">
        <v>5218405</v>
      </c>
      <c r="G17">
        <v>5087962</v>
      </c>
      <c r="H17">
        <v>6798786</v>
      </c>
      <c r="I17">
        <v>7598057</v>
      </c>
      <c r="J17">
        <v>4668189</v>
      </c>
      <c r="K17">
        <v>2861500</v>
      </c>
      <c r="L17">
        <v>5081300</v>
      </c>
      <c r="M17">
        <v>1595600</v>
      </c>
      <c r="N17" s="4">
        <f t="shared" si="9"/>
        <v>57237516</v>
      </c>
    </row>
    <row r="18" spans="1:14" x14ac:dyDescent="0.3">
      <c r="A18">
        <v>1991</v>
      </c>
      <c r="B18">
        <v>2586986</v>
      </c>
      <c r="C18">
        <v>6843039</v>
      </c>
      <c r="D18">
        <v>4936100</v>
      </c>
      <c r="E18">
        <v>4011411</v>
      </c>
      <c r="F18">
        <v>5229699</v>
      </c>
      <c r="G18">
        <v>5121052</v>
      </c>
      <c r="H18">
        <v>6829314</v>
      </c>
      <c r="I18">
        <v>7629186</v>
      </c>
      <c r="J18">
        <v>4688248</v>
      </c>
      <c r="K18">
        <v>2873000</v>
      </c>
      <c r="L18">
        <v>5083300</v>
      </c>
      <c r="M18">
        <v>1607300</v>
      </c>
      <c r="N18" s="4">
        <f t="shared" si="9"/>
        <v>57438635</v>
      </c>
    </row>
    <row r="19" spans="1:14" x14ac:dyDescent="0.3">
      <c r="A19">
        <v>1992</v>
      </c>
      <c r="B19">
        <v>2591333</v>
      </c>
      <c r="C19">
        <v>6841029</v>
      </c>
      <c r="D19">
        <v>4949033</v>
      </c>
      <c r="E19">
        <v>4036691</v>
      </c>
      <c r="F19">
        <v>5237375</v>
      </c>
      <c r="G19">
        <v>5142589</v>
      </c>
      <c r="H19">
        <v>6829408</v>
      </c>
      <c r="I19">
        <v>7656594</v>
      </c>
      <c r="J19">
        <v>4713921</v>
      </c>
      <c r="K19">
        <v>2877700</v>
      </c>
      <c r="L19">
        <v>5085600</v>
      </c>
      <c r="M19">
        <v>1623300</v>
      </c>
      <c r="N19" s="4">
        <f t="shared" si="9"/>
        <v>57584573</v>
      </c>
    </row>
    <row r="20" spans="1:14" x14ac:dyDescent="0.3">
      <c r="A20">
        <v>1993</v>
      </c>
      <c r="B20">
        <v>2593948</v>
      </c>
      <c r="C20">
        <v>6846740</v>
      </c>
      <c r="D20">
        <v>4954142</v>
      </c>
      <c r="E20">
        <v>4055893</v>
      </c>
      <c r="F20">
        <v>5245930</v>
      </c>
      <c r="G20">
        <v>5154369</v>
      </c>
      <c r="H20">
        <v>6844491</v>
      </c>
      <c r="I20">
        <v>7673172</v>
      </c>
      <c r="J20">
        <v>4733634</v>
      </c>
      <c r="K20">
        <v>2883600</v>
      </c>
      <c r="L20">
        <v>5092500</v>
      </c>
      <c r="M20">
        <v>1635600</v>
      </c>
      <c r="N20" s="4">
        <f t="shared" si="9"/>
        <v>57714019</v>
      </c>
    </row>
    <row r="21" spans="1:14" x14ac:dyDescent="0.3">
      <c r="A21">
        <v>1994</v>
      </c>
      <c r="B21">
        <v>2588661</v>
      </c>
      <c r="C21">
        <v>6838904</v>
      </c>
      <c r="D21">
        <v>4960087</v>
      </c>
      <c r="E21">
        <v>4071720</v>
      </c>
      <c r="F21">
        <v>5249295</v>
      </c>
      <c r="G21">
        <v>5177915</v>
      </c>
      <c r="H21">
        <v>6873527</v>
      </c>
      <c r="I21">
        <v>7711594</v>
      </c>
      <c r="J21">
        <v>4757078</v>
      </c>
      <c r="K21">
        <v>2887400</v>
      </c>
      <c r="L21">
        <v>5102200</v>
      </c>
      <c r="M21">
        <v>1643700</v>
      </c>
      <c r="N21" s="4">
        <f t="shared" si="9"/>
        <v>57862081</v>
      </c>
    </row>
    <row r="22" spans="1:14" x14ac:dyDescent="0.3">
      <c r="A22">
        <v>1995</v>
      </c>
      <c r="B22">
        <v>2582715</v>
      </c>
      <c r="C22">
        <v>6827940</v>
      </c>
      <c r="D22">
        <v>4960575</v>
      </c>
      <c r="E22">
        <v>4091663</v>
      </c>
      <c r="F22">
        <v>5256911</v>
      </c>
      <c r="G22">
        <v>5205700</v>
      </c>
      <c r="H22">
        <v>6913123</v>
      </c>
      <c r="I22">
        <v>7762978</v>
      </c>
      <c r="J22">
        <v>4781856</v>
      </c>
      <c r="K22">
        <v>2888500</v>
      </c>
      <c r="L22">
        <v>5103700</v>
      </c>
      <c r="M22">
        <v>1649100</v>
      </c>
      <c r="N22" s="4">
        <f t="shared" si="9"/>
        <v>58024761</v>
      </c>
    </row>
    <row r="23" spans="1:14" x14ac:dyDescent="0.3">
      <c r="A23">
        <v>1996</v>
      </c>
      <c r="B23">
        <v>2576450</v>
      </c>
      <c r="C23">
        <v>6809646</v>
      </c>
      <c r="D23">
        <v>4961254</v>
      </c>
      <c r="E23">
        <v>4108070</v>
      </c>
      <c r="F23">
        <v>5263046</v>
      </c>
      <c r="G23">
        <v>5232760</v>
      </c>
      <c r="H23">
        <v>6974407</v>
      </c>
      <c r="I23">
        <v>7800406</v>
      </c>
      <c r="J23">
        <v>4793090</v>
      </c>
      <c r="K23">
        <v>2891300</v>
      </c>
      <c r="L23">
        <v>5092200</v>
      </c>
      <c r="M23">
        <v>1661800</v>
      </c>
      <c r="N23" s="4">
        <f t="shared" si="9"/>
        <v>58164429</v>
      </c>
    </row>
    <row r="24" spans="1:14" x14ac:dyDescent="0.3">
      <c r="A24">
        <v>1997</v>
      </c>
      <c r="B24">
        <v>2568066</v>
      </c>
      <c r="C24">
        <v>6794378</v>
      </c>
      <c r="D24">
        <v>4957561</v>
      </c>
      <c r="E24">
        <v>4120320</v>
      </c>
      <c r="F24">
        <v>5262278</v>
      </c>
      <c r="G24">
        <v>5266915</v>
      </c>
      <c r="H24">
        <v>7014838</v>
      </c>
      <c r="I24">
        <v>7853102</v>
      </c>
      <c r="J24">
        <v>4827319</v>
      </c>
      <c r="K24">
        <v>2894900</v>
      </c>
      <c r="L24">
        <v>5083300</v>
      </c>
      <c r="M24">
        <v>1671300</v>
      </c>
      <c r="N24" s="4">
        <f>SUM(B24:M24)</f>
        <v>58314277</v>
      </c>
    </row>
    <row r="25" spans="1:14" x14ac:dyDescent="0.3">
      <c r="A25">
        <v>1998</v>
      </c>
      <c r="B25">
        <v>2560883</v>
      </c>
      <c r="C25">
        <v>6792173</v>
      </c>
      <c r="D25">
        <v>4957703</v>
      </c>
      <c r="E25">
        <v>4132645</v>
      </c>
      <c r="F25">
        <v>5271352</v>
      </c>
      <c r="G25">
        <v>5302028</v>
      </c>
      <c r="H25">
        <v>7065497</v>
      </c>
      <c r="I25">
        <v>7888838</v>
      </c>
      <c r="J25">
        <v>4849464</v>
      </c>
      <c r="K25">
        <v>2899500</v>
      </c>
      <c r="L25">
        <v>5077100</v>
      </c>
      <c r="M25">
        <v>1677800</v>
      </c>
      <c r="N25" s="4">
        <f t="shared" si="9"/>
        <v>58474983</v>
      </c>
    </row>
    <row r="26" spans="1:14" x14ac:dyDescent="0.3">
      <c r="A26">
        <v>1999</v>
      </c>
      <c r="B26">
        <v>2550314</v>
      </c>
      <c r="C26">
        <v>6773115</v>
      </c>
      <c r="D26">
        <v>4956325</v>
      </c>
      <c r="E26">
        <v>4152443</v>
      </c>
      <c r="F26">
        <v>5271959</v>
      </c>
      <c r="G26">
        <v>5338722</v>
      </c>
      <c r="H26">
        <v>7153912</v>
      </c>
      <c r="I26">
        <v>7955124</v>
      </c>
      <c r="J26">
        <v>4880958</v>
      </c>
      <c r="K26">
        <v>2900600</v>
      </c>
      <c r="L26">
        <v>5072000</v>
      </c>
      <c r="M26">
        <v>1679000</v>
      </c>
      <c r="N26" s="4">
        <f t="shared" si="9"/>
        <v>58684472</v>
      </c>
    </row>
    <row r="27" spans="1:14" x14ac:dyDescent="0.3">
      <c r="A27">
        <v>2000</v>
      </c>
      <c r="B27">
        <v>2543421</v>
      </c>
      <c r="C27">
        <v>6774223</v>
      </c>
      <c r="D27">
        <v>4958609</v>
      </c>
      <c r="E27">
        <v>4168076</v>
      </c>
      <c r="F27">
        <v>5269626</v>
      </c>
      <c r="G27">
        <v>5374972</v>
      </c>
      <c r="H27">
        <v>7236712</v>
      </c>
      <c r="I27">
        <v>7990598</v>
      </c>
      <c r="J27">
        <v>4917074</v>
      </c>
      <c r="K27">
        <v>2906900</v>
      </c>
      <c r="L27">
        <v>5062900</v>
      </c>
      <c r="M27">
        <v>1682900</v>
      </c>
      <c r="N27" s="4">
        <f t="shared" si="9"/>
        <v>58886011</v>
      </c>
    </row>
    <row r="28" spans="1:14" x14ac:dyDescent="0.3">
      <c r="A28">
        <v>2001</v>
      </c>
      <c r="B28">
        <v>2540090</v>
      </c>
      <c r="C28">
        <v>6772985</v>
      </c>
      <c r="D28">
        <v>4976643</v>
      </c>
      <c r="E28">
        <v>4189622</v>
      </c>
      <c r="F28">
        <v>5280727</v>
      </c>
      <c r="G28">
        <v>5400463</v>
      </c>
      <c r="H28">
        <v>7322403</v>
      </c>
      <c r="I28">
        <v>8023449</v>
      </c>
      <c r="J28">
        <v>4943364</v>
      </c>
      <c r="K28">
        <v>2910200</v>
      </c>
      <c r="L28">
        <v>5064200</v>
      </c>
      <c r="M28">
        <v>1688800</v>
      </c>
      <c r="N28" s="4">
        <f t="shared" si="9"/>
        <v>59112946</v>
      </c>
    </row>
    <row r="29" spans="1:14" x14ac:dyDescent="0.3">
      <c r="A29">
        <v>2002</v>
      </c>
      <c r="B29">
        <v>2540600</v>
      </c>
      <c r="C29">
        <v>6784880</v>
      </c>
      <c r="D29">
        <v>5000111</v>
      </c>
      <c r="E29">
        <v>4221753</v>
      </c>
      <c r="F29">
        <v>5301243</v>
      </c>
      <c r="G29">
        <v>5432688</v>
      </c>
      <c r="H29">
        <v>7376671</v>
      </c>
      <c r="I29">
        <v>8045192</v>
      </c>
      <c r="J29">
        <v>4976129</v>
      </c>
      <c r="K29">
        <v>2922900</v>
      </c>
      <c r="L29">
        <v>5066000</v>
      </c>
      <c r="M29">
        <v>1697500</v>
      </c>
      <c r="N29" s="4">
        <f t="shared" si="9"/>
        <v>59365667</v>
      </c>
    </row>
    <row r="30" spans="1:14" x14ac:dyDescent="0.3">
      <c r="A30">
        <v>2003</v>
      </c>
      <c r="B30">
        <v>2540461</v>
      </c>
      <c r="C30">
        <v>6814660</v>
      </c>
      <c r="D30">
        <v>5026314</v>
      </c>
      <c r="E30">
        <v>4255080</v>
      </c>
      <c r="F30">
        <v>5325475</v>
      </c>
      <c r="G30">
        <v>5474133</v>
      </c>
      <c r="H30">
        <v>7394817</v>
      </c>
      <c r="I30">
        <v>8087924</v>
      </c>
      <c r="J30">
        <v>5006653</v>
      </c>
      <c r="K30">
        <v>2937700</v>
      </c>
      <c r="L30">
        <v>5068500</v>
      </c>
      <c r="M30">
        <v>1704900</v>
      </c>
      <c r="N30" s="4">
        <f t="shared" si="9"/>
        <v>59636617</v>
      </c>
    </row>
    <row r="31" spans="1:14" x14ac:dyDescent="0.3">
      <c r="A31">
        <v>2004</v>
      </c>
      <c r="B31">
        <v>2540502</v>
      </c>
      <c r="C31">
        <v>6840369</v>
      </c>
      <c r="D31">
        <v>5063199</v>
      </c>
      <c r="E31">
        <v>4291476</v>
      </c>
      <c r="F31">
        <v>5346376</v>
      </c>
      <c r="G31">
        <v>5508564</v>
      </c>
      <c r="H31">
        <v>7432730</v>
      </c>
      <c r="I31">
        <v>8133100</v>
      </c>
      <c r="J31">
        <v>5038284</v>
      </c>
      <c r="K31">
        <v>2957400</v>
      </c>
      <c r="L31">
        <v>5084300</v>
      </c>
      <c r="M31">
        <v>1714000</v>
      </c>
      <c r="N31" s="4">
        <f t="shared" si="9"/>
        <v>59950300</v>
      </c>
    </row>
    <row r="32" spans="1:14" x14ac:dyDescent="0.3">
      <c r="A32">
        <v>2005</v>
      </c>
      <c r="B32">
        <v>2547127</v>
      </c>
      <c r="C32">
        <v>6870021</v>
      </c>
      <c r="D32">
        <v>5108408</v>
      </c>
      <c r="E32">
        <v>4329112</v>
      </c>
      <c r="F32">
        <v>5380687</v>
      </c>
      <c r="G32">
        <v>5562653</v>
      </c>
      <c r="H32">
        <v>7519009</v>
      </c>
      <c r="I32">
        <v>8202896</v>
      </c>
      <c r="J32">
        <v>5086121</v>
      </c>
      <c r="K32">
        <v>2969300</v>
      </c>
      <c r="L32">
        <v>5110200</v>
      </c>
      <c r="M32">
        <v>1727700</v>
      </c>
      <c r="N32" s="4">
        <f t="shared" si="9"/>
        <v>60413234</v>
      </c>
    </row>
    <row r="33" spans="1:14" x14ac:dyDescent="0.3">
      <c r="A33">
        <v>2006</v>
      </c>
      <c r="B33">
        <v>2552568</v>
      </c>
      <c r="C33">
        <v>6901585</v>
      </c>
      <c r="D33">
        <v>5134016</v>
      </c>
      <c r="E33">
        <v>4366676</v>
      </c>
      <c r="F33">
        <v>5415521</v>
      </c>
      <c r="G33">
        <v>5606294</v>
      </c>
      <c r="H33">
        <v>7597825</v>
      </c>
      <c r="I33">
        <v>8270861</v>
      </c>
      <c r="J33">
        <v>5119840</v>
      </c>
      <c r="K33">
        <v>2985700</v>
      </c>
      <c r="L33">
        <v>5133000</v>
      </c>
      <c r="M33">
        <v>1743100</v>
      </c>
      <c r="N33" s="4">
        <f t="shared" si="9"/>
        <v>60826986</v>
      </c>
    </row>
    <row r="34" spans="1:14" x14ac:dyDescent="0.3">
      <c r="A34">
        <v>2007</v>
      </c>
      <c r="B34">
        <v>2562045</v>
      </c>
      <c r="C34">
        <v>6929277</v>
      </c>
      <c r="D34">
        <v>5164138</v>
      </c>
      <c r="E34">
        <v>4404774</v>
      </c>
      <c r="F34">
        <v>5451924</v>
      </c>
      <c r="G34">
        <v>5653534</v>
      </c>
      <c r="H34">
        <v>7693473</v>
      </c>
      <c r="I34">
        <v>8351391</v>
      </c>
      <c r="J34">
        <v>5170537</v>
      </c>
      <c r="K34">
        <v>3006300</v>
      </c>
      <c r="L34">
        <v>5170000</v>
      </c>
      <c r="M34">
        <v>1761700</v>
      </c>
      <c r="N34" s="4">
        <f t="shared" si="9"/>
        <v>61319093</v>
      </c>
    </row>
    <row r="35" spans="1:14" x14ac:dyDescent="0.3">
      <c r="A35">
        <v>2008</v>
      </c>
      <c r="B35">
        <v>2569312</v>
      </c>
      <c r="C35">
        <v>6958547</v>
      </c>
      <c r="D35">
        <v>5198675</v>
      </c>
      <c r="E35">
        <v>4441125</v>
      </c>
      <c r="F35">
        <v>5496240</v>
      </c>
      <c r="G35">
        <v>5708350</v>
      </c>
      <c r="H35">
        <v>7812161</v>
      </c>
      <c r="I35">
        <v>8426399</v>
      </c>
      <c r="J35">
        <v>5205044</v>
      </c>
      <c r="K35">
        <v>3025900</v>
      </c>
      <c r="L35">
        <v>5202900</v>
      </c>
      <c r="M35">
        <v>1779200</v>
      </c>
      <c r="N35" s="4">
        <f t="shared" si="9"/>
        <v>61823853</v>
      </c>
    </row>
    <row r="36" spans="1:14" x14ac:dyDescent="0.3">
      <c r="A36">
        <v>2009</v>
      </c>
      <c r="B36">
        <v>2575441</v>
      </c>
      <c r="C36">
        <v>6986156</v>
      </c>
      <c r="D36">
        <v>5223344</v>
      </c>
      <c r="E36">
        <v>4471653</v>
      </c>
      <c r="F36">
        <v>5528007</v>
      </c>
      <c r="G36">
        <v>5751443</v>
      </c>
      <c r="H36">
        <v>7942594</v>
      </c>
      <c r="I36">
        <v>8490922</v>
      </c>
      <c r="J36">
        <v>5226821</v>
      </c>
      <c r="K36">
        <v>3038900</v>
      </c>
      <c r="L36">
        <v>5231900</v>
      </c>
      <c r="M36">
        <v>1793300</v>
      </c>
      <c r="N36" s="4">
        <f t="shared" si="9"/>
        <v>62260481</v>
      </c>
    </row>
    <row r="37" spans="1:14" x14ac:dyDescent="0.3">
      <c r="A37">
        <v>2010</v>
      </c>
      <c r="B37">
        <v>2586868</v>
      </c>
      <c r="C37">
        <v>7019921</v>
      </c>
      <c r="D37">
        <v>5254788</v>
      </c>
      <c r="E37">
        <v>4507071</v>
      </c>
      <c r="F37">
        <v>5565866</v>
      </c>
      <c r="G37">
        <v>5807402</v>
      </c>
      <c r="H37">
        <v>8061495</v>
      </c>
      <c r="I37">
        <v>8577771</v>
      </c>
      <c r="J37">
        <v>5261270</v>
      </c>
      <c r="K37">
        <v>3050000</v>
      </c>
      <c r="L37">
        <v>5262200</v>
      </c>
      <c r="M37">
        <v>1804800</v>
      </c>
      <c r="N37" s="4">
        <f t="shared" si="9"/>
        <v>62759452</v>
      </c>
    </row>
    <row r="38" spans="1:14" x14ac:dyDescent="0.3">
      <c r="A38">
        <v>2011</v>
      </c>
      <c r="B38">
        <v>2596441</v>
      </c>
      <c r="C38">
        <v>7055961</v>
      </c>
      <c r="D38">
        <v>5288212</v>
      </c>
      <c r="E38">
        <v>4537448</v>
      </c>
      <c r="F38">
        <v>5608667</v>
      </c>
      <c r="G38">
        <v>5862418</v>
      </c>
      <c r="H38">
        <v>8204407</v>
      </c>
      <c r="I38">
        <v>8652784</v>
      </c>
      <c r="J38">
        <v>5300831</v>
      </c>
      <c r="K38">
        <v>3063800</v>
      </c>
      <c r="L38">
        <v>5299900</v>
      </c>
      <c r="M38">
        <v>1814300</v>
      </c>
      <c r="N38" s="4">
        <f t="shared" si="9"/>
        <v>63285169</v>
      </c>
    </row>
    <row r="39" spans="1:14" x14ac:dyDescent="0.3">
      <c r="A39">
        <v>2012</v>
      </c>
      <c r="B39">
        <v>2598972</v>
      </c>
      <c r="C39">
        <v>7079344</v>
      </c>
      <c r="D39">
        <v>5313486</v>
      </c>
      <c r="E39">
        <v>4570702</v>
      </c>
      <c r="F39">
        <v>5640325</v>
      </c>
      <c r="G39">
        <v>5915033</v>
      </c>
      <c r="H39">
        <v>8320767</v>
      </c>
      <c r="I39">
        <v>8731840</v>
      </c>
      <c r="J39">
        <v>5336343</v>
      </c>
      <c r="K39">
        <v>3070900</v>
      </c>
      <c r="L39">
        <v>5308200</v>
      </c>
      <c r="M39">
        <v>1824600</v>
      </c>
      <c r="N39" s="4">
        <f t="shared" si="9"/>
        <v>63710512</v>
      </c>
    </row>
    <row r="40" spans="1:14" x14ac:dyDescent="0.3">
      <c r="A40">
        <v>2013</v>
      </c>
      <c r="B40">
        <v>2603299</v>
      </c>
      <c r="C40">
        <v>7105146</v>
      </c>
      <c r="D40">
        <v>5335092</v>
      </c>
      <c r="E40">
        <v>4604568</v>
      </c>
      <c r="F40">
        <v>5676945</v>
      </c>
      <c r="G40">
        <v>5970484</v>
      </c>
      <c r="H40">
        <v>8438987</v>
      </c>
      <c r="I40">
        <v>8809382</v>
      </c>
      <c r="J40">
        <v>5374783</v>
      </c>
      <c r="K40">
        <v>3071100</v>
      </c>
      <c r="L40">
        <v>5316800</v>
      </c>
      <c r="M40">
        <v>1831700</v>
      </c>
      <c r="N40" s="4">
        <f t="shared" si="9"/>
        <v>64138286</v>
      </c>
    </row>
    <row r="41" spans="1:14" x14ac:dyDescent="0.3">
      <c r="A41">
        <v>2014</v>
      </c>
      <c r="B41">
        <v>2610482</v>
      </c>
      <c r="C41">
        <v>7141096</v>
      </c>
      <c r="D41">
        <v>5356428</v>
      </c>
      <c r="E41">
        <v>4642629</v>
      </c>
      <c r="F41">
        <v>5716882</v>
      </c>
      <c r="G41">
        <v>6039521</v>
      </c>
      <c r="H41">
        <v>8547192</v>
      </c>
      <c r="I41">
        <v>8893930</v>
      </c>
      <c r="J41">
        <v>5422159</v>
      </c>
      <c r="K41">
        <v>3073800</v>
      </c>
      <c r="L41">
        <v>5331400</v>
      </c>
      <c r="M41">
        <v>1843200</v>
      </c>
      <c r="N41" s="4">
        <f t="shared" si="9"/>
        <v>64618719</v>
      </c>
    </row>
    <row r="42" spans="1:14" x14ac:dyDescent="0.3">
      <c r="A42">
        <v>2015</v>
      </c>
      <c r="B42">
        <v>2611804</v>
      </c>
      <c r="C42">
        <v>7182651</v>
      </c>
      <c r="D42">
        <v>5377362</v>
      </c>
      <c r="E42">
        <v>4681640</v>
      </c>
      <c r="F42">
        <v>5756287</v>
      </c>
      <c r="G42">
        <v>6098262</v>
      </c>
      <c r="H42">
        <v>8659545</v>
      </c>
      <c r="I42">
        <v>8969638</v>
      </c>
      <c r="J42">
        <v>5471487</v>
      </c>
      <c r="K42">
        <v>3072700</v>
      </c>
      <c r="L42">
        <v>5350600</v>
      </c>
      <c r="M42">
        <v>1854900</v>
      </c>
      <c r="N42" s="4">
        <f t="shared" si="9"/>
        <v>65086876</v>
      </c>
    </row>
    <row r="43" spans="1:14" x14ac:dyDescent="0.3">
      <c r="A43">
        <v>2016</v>
      </c>
      <c r="B43">
        <v>2618253</v>
      </c>
      <c r="C43">
        <v>7234141</v>
      </c>
      <c r="D43">
        <v>5408058</v>
      </c>
      <c r="E43">
        <v>4731615</v>
      </c>
      <c r="F43">
        <v>5812248</v>
      </c>
      <c r="G43">
        <v>6161075</v>
      </c>
      <c r="H43">
        <v>8743651</v>
      </c>
      <c r="I43">
        <v>9053011</v>
      </c>
      <c r="J43">
        <v>5526982</v>
      </c>
      <c r="K43">
        <v>3077200</v>
      </c>
      <c r="L43">
        <v>5373600</v>
      </c>
      <c r="M43">
        <v>1866000</v>
      </c>
      <c r="N43" s="4">
        <f t="shared" si="9"/>
        <v>65605834</v>
      </c>
    </row>
    <row r="44" spans="1:14" x14ac:dyDescent="0.3">
      <c r="A44">
        <v>2017</v>
      </c>
      <c r="B44">
        <v>2623787</v>
      </c>
      <c r="C44">
        <v>7275765</v>
      </c>
      <c r="D44">
        <v>5427784</v>
      </c>
      <c r="E44">
        <v>4778346</v>
      </c>
      <c r="F44">
        <v>5855052</v>
      </c>
      <c r="G44">
        <v>6202843</v>
      </c>
      <c r="H44">
        <v>8776229</v>
      </c>
      <c r="I44">
        <v>9105076</v>
      </c>
      <c r="J44">
        <v>5574666</v>
      </c>
      <c r="K44">
        <v>3081400</v>
      </c>
      <c r="L44">
        <v>5388200</v>
      </c>
      <c r="M44">
        <v>1875200</v>
      </c>
      <c r="N44" s="4">
        <f t="shared" si="9"/>
        <v>65964348</v>
      </c>
    </row>
    <row r="45" spans="1:14" x14ac:dyDescent="0.3">
      <c r="A45">
        <v>2018</v>
      </c>
      <c r="B45">
        <v>2629393</v>
      </c>
      <c r="C45">
        <v>7316116</v>
      </c>
      <c r="D45">
        <v>5443883</v>
      </c>
      <c r="E45">
        <v>4815151</v>
      </c>
      <c r="F45">
        <v>5889328</v>
      </c>
      <c r="G45">
        <v>6237376</v>
      </c>
      <c r="H45">
        <v>8833335</v>
      </c>
      <c r="I45">
        <v>9150245</v>
      </c>
      <c r="J45">
        <v>5609701</v>
      </c>
      <c r="K45">
        <v>3083800</v>
      </c>
      <c r="L45">
        <v>5392100</v>
      </c>
      <c r="M45">
        <v>1886300</v>
      </c>
      <c r="N45" s="4">
        <f t="shared" si="9"/>
        <v>66286728</v>
      </c>
    </row>
    <row r="46" spans="1:14" x14ac:dyDescent="0.3">
      <c r="A46">
        <v>2019</v>
      </c>
      <c r="B46">
        <v>2636676</v>
      </c>
      <c r="C46">
        <v>7363267</v>
      </c>
      <c r="D46">
        <v>5464651</v>
      </c>
      <c r="E46">
        <v>4844001</v>
      </c>
      <c r="F46">
        <v>5920977</v>
      </c>
      <c r="G46">
        <v>6274179</v>
      </c>
      <c r="H46">
        <v>8889743</v>
      </c>
      <c r="I46">
        <v>9193770</v>
      </c>
      <c r="J46">
        <v>5642792</v>
      </c>
      <c r="K46">
        <v>3087700</v>
      </c>
      <c r="L46">
        <v>5411200</v>
      </c>
      <c r="M46">
        <v>1898500</v>
      </c>
      <c r="N46" s="4">
        <f t="shared" si="9"/>
        <v>66627456</v>
      </c>
    </row>
    <row r="47" spans="1:14" x14ac:dyDescent="0.3">
      <c r="A47">
        <v>2020</v>
      </c>
      <c r="B47">
        <v>2637426</v>
      </c>
      <c r="C47">
        <v>7380605</v>
      </c>
      <c r="D47">
        <v>5468487</v>
      </c>
      <c r="E47">
        <v>4855469</v>
      </c>
      <c r="F47">
        <v>5931924</v>
      </c>
      <c r="G47">
        <v>6297779</v>
      </c>
      <c r="H47">
        <v>8867008</v>
      </c>
      <c r="I47">
        <v>9225273</v>
      </c>
      <c r="J47">
        <v>5661990</v>
      </c>
      <c r="K47">
        <v>3104500</v>
      </c>
      <c r="L47">
        <v>5408900</v>
      </c>
      <c r="M47">
        <v>1900500</v>
      </c>
      <c r="N47" s="4">
        <f t="shared" si="9"/>
        <v>66739861</v>
      </c>
    </row>
    <row r="48" spans="1:14" x14ac:dyDescent="0.3">
      <c r="A48">
        <v>2021</v>
      </c>
      <c r="B48">
        <v>2647493</v>
      </c>
      <c r="C48">
        <v>7424092</v>
      </c>
      <c r="D48">
        <v>5482455</v>
      </c>
      <c r="E48">
        <v>4881559</v>
      </c>
      <c r="F48">
        <v>5956226</v>
      </c>
      <c r="G48">
        <v>6349646</v>
      </c>
      <c r="H48">
        <v>8804769</v>
      </c>
      <c r="I48">
        <v>9295829</v>
      </c>
      <c r="J48">
        <v>5712822</v>
      </c>
      <c r="K48">
        <v>3105600</v>
      </c>
      <c r="L48">
        <v>5412900</v>
      </c>
      <c r="M48">
        <v>1904600</v>
      </c>
      <c r="N48" s="4">
        <f t="shared" si="9"/>
        <v>66977991</v>
      </c>
    </row>
    <row r="49" spans="1:14" x14ac:dyDescent="0.3">
      <c r="A49">
        <v>2022</v>
      </c>
      <c r="B49">
        <v>2682069</v>
      </c>
      <c r="C49">
        <v>7515718</v>
      </c>
      <c r="D49">
        <v>5538213</v>
      </c>
      <c r="E49">
        <v>4934832</v>
      </c>
      <c r="F49">
        <v>6017026</v>
      </c>
      <c r="G49">
        <v>6401418</v>
      </c>
      <c r="H49">
        <v>8869043</v>
      </c>
      <c r="I49">
        <v>9387286</v>
      </c>
      <c r="J49">
        <v>5766937</v>
      </c>
      <c r="K49">
        <v>3134200</v>
      </c>
      <c r="L49">
        <v>5447000</v>
      </c>
      <c r="M49">
        <v>1910500</v>
      </c>
      <c r="N49" s="4">
        <f t="shared" si="9"/>
        <v>67604242</v>
      </c>
    </row>
    <row r="50" spans="1:14" x14ac:dyDescent="0.3">
      <c r="A50">
        <v>2023</v>
      </c>
      <c r="B50">
        <v>2711380</v>
      </c>
      <c r="C50">
        <v>7600126</v>
      </c>
      <c r="D50">
        <v>5594125</v>
      </c>
      <c r="E50">
        <v>4991265</v>
      </c>
      <c r="F50">
        <v>6085687</v>
      </c>
      <c r="G50">
        <v>6468665</v>
      </c>
      <c r="H50">
        <v>8945309</v>
      </c>
      <c r="I50">
        <v>9482507</v>
      </c>
      <c r="J50">
        <v>5811259</v>
      </c>
      <c r="K50">
        <v>3167300</v>
      </c>
      <c r="L50">
        <v>5506000</v>
      </c>
      <c r="M50">
        <v>1920400</v>
      </c>
      <c r="N50" s="4">
        <f t="shared" si="9"/>
        <v>68284023</v>
      </c>
    </row>
    <row r="51" spans="1:14" x14ac:dyDescent="0.3">
      <c r="A51">
        <v>2024</v>
      </c>
      <c r="B51">
        <v>2760678</v>
      </c>
      <c r="C51">
        <v>7737414</v>
      </c>
      <c r="D51">
        <v>5672962</v>
      </c>
      <c r="E51">
        <v>5063164</v>
      </c>
      <c r="F51">
        <v>6187204</v>
      </c>
      <c r="G51">
        <v>6576306</v>
      </c>
      <c r="H51">
        <v>9089736</v>
      </c>
      <c r="I51">
        <v>9642942</v>
      </c>
      <c r="J51">
        <v>5889695</v>
      </c>
      <c r="K51">
        <v>3186600</v>
      </c>
      <c r="L51">
        <v>5546900</v>
      </c>
      <c r="M51">
        <v>1927900</v>
      </c>
      <c r="N51" s="4">
        <f t="shared" si="9"/>
        <v>69281501</v>
      </c>
    </row>
    <row r="52" spans="1:14" x14ac:dyDescent="0.3">
      <c r="A52">
        <v>2025</v>
      </c>
      <c r="B52" s="4">
        <f>B51*(B51/B50)</f>
        <v>2810872.3305785246</v>
      </c>
      <c r="C52" s="4">
        <f t="shared" ref="C52:M52" si="11">C51*(C51/C50)</f>
        <v>7877181.95821964</v>
      </c>
      <c r="D52" s="4">
        <f t="shared" si="11"/>
        <v>5752910.0356970932</v>
      </c>
      <c r="E52" s="4">
        <f t="shared" si="11"/>
        <v>5136098.7026126646</v>
      </c>
      <c r="F52" s="4">
        <f t="shared" si="11"/>
        <v>6290414.4326870581</v>
      </c>
      <c r="G52" s="4">
        <f t="shared" si="11"/>
        <v>6685738.1864165179</v>
      </c>
      <c r="H52" s="4">
        <f t="shared" si="11"/>
        <v>9236494.8544198982</v>
      </c>
      <c r="I52" s="4">
        <f t="shared" si="11"/>
        <v>9806091.4076165725</v>
      </c>
      <c r="J52" s="4">
        <f t="shared" si="11"/>
        <v>5969189.6700912826</v>
      </c>
      <c r="K52" s="4">
        <f t="shared" si="11"/>
        <v>3206017.6049000728</v>
      </c>
      <c r="L52" s="4">
        <f t="shared" si="11"/>
        <v>5588103.8158372687</v>
      </c>
      <c r="M52" s="4">
        <f t="shared" si="11"/>
        <v>1935429.2907727554</v>
      </c>
      <c r="N52" s="4">
        <f t="shared" si="9"/>
        <v>70294542.289849356</v>
      </c>
    </row>
  </sheetData>
  <pageMargins left="0.7" right="0.7" top="0.75" bottom="0.75" header="0.3" footer="0.3"/>
  <ignoredErrors>
    <ignoredError sqref="B7 C7:J7" formulaRange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32693-71E9-46BE-98AE-6BF68886CBE0}">
  <dimension ref="A1:M52"/>
  <sheetViews>
    <sheetView topLeftCell="A40" workbookViewId="0">
      <selection activeCell="P36" sqref="P36"/>
    </sheetView>
  </sheetViews>
  <sheetFormatPr defaultRowHeight="14.4" x14ac:dyDescent="0.3"/>
  <sheetData>
    <row r="1" spans="1:13" x14ac:dyDescent="0.3">
      <c r="A1" s="1" t="s">
        <v>9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0</v>
      </c>
      <c r="H1" s="1" t="s">
        <v>1</v>
      </c>
      <c r="I1" s="1" t="s">
        <v>7</v>
      </c>
      <c r="J1" s="1" t="s">
        <v>8</v>
      </c>
      <c r="K1" s="5" t="s">
        <v>11</v>
      </c>
      <c r="L1" s="5" t="s">
        <v>12</v>
      </c>
      <c r="M1" s="5" t="s">
        <v>13</v>
      </c>
    </row>
    <row r="2" spans="1:13" x14ac:dyDescent="0.3">
      <c r="A2">
        <v>1975</v>
      </c>
      <c r="B2">
        <f>unicount!B2/pop!B2*1000000-unicount!$N2/pop!$N2*1000000</f>
        <v>-3.5398049263461573E-2</v>
      </c>
      <c r="C2">
        <f>unicount!C2/pop!C2*1000000-unicount!$N2/pop!$N2*1000000</f>
        <v>-0.2183990364840549</v>
      </c>
      <c r="D2">
        <f>unicount!D2/pop!D2*1000000-unicount!$N2/pop!$N2*1000000</f>
        <v>0.22097915416837732</v>
      </c>
      <c r="E2">
        <f>unicount!E2/pop!E2*1000000-unicount!$N2/pop!$N2*1000000</f>
        <v>-2.0391196963238212E-2</v>
      </c>
      <c r="F2">
        <f>unicount!F2/pop!F2*1000000-unicount!$N2/pop!$N2*1000000</f>
        <v>-2.5911378369498972E-2</v>
      </c>
      <c r="G2">
        <f>unicount!G2/pop!G2*1000000-unicount!$N2/pop!$N2*1000000</f>
        <v>-0.18455110499431393</v>
      </c>
      <c r="H2">
        <f>unicount!H2/pop!H2*1000000-unicount!$N2/pop!$N2*1000000</f>
        <v>-0.35442718430339948</v>
      </c>
      <c r="I2">
        <f>unicount!I2/pop!I2*1000000-unicount!$N2/pop!$N2*1000000</f>
        <v>0.16136088971370577</v>
      </c>
      <c r="J2">
        <f>unicount!J2/pop!J2*1000000-unicount!$N2/pop!$N2*1000000</f>
        <v>-0.11923494100374887</v>
      </c>
      <c r="K2">
        <f>unicount!K2/pop!K2*1000000-unicount!$N2/pop!$N2*1000000</f>
        <v>-0.44040941607731021</v>
      </c>
      <c r="L2">
        <f>unicount!L2/pop!L2*1000000-unicount!$N2/pop!$N2*1000000</f>
        <v>0.73079512328362639</v>
      </c>
      <c r="M2">
        <f>unicount!M2/pop!M2*1000000-unicount!$N2/pop!$N2*1000000</f>
        <v>0.51462668230542585</v>
      </c>
    </row>
    <row r="3" spans="1:13" x14ac:dyDescent="0.3">
      <c r="A3">
        <v>1976</v>
      </c>
      <c r="B3">
        <f>unicount!B3/pop!B3*1000000-unicount!$N3/pop!$N3*1000000</f>
        <v>-3.6125826613143786E-2</v>
      </c>
      <c r="C3">
        <f>unicount!C3/pop!C3*1000000-unicount!$N3/pop!$N3*1000000</f>
        <v>-0.21901432007438892</v>
      </c>
      <c r="D3">
        <f>unicount!D3/pop!D3*1000000-unicount!$N3/pop!$N3*1000000</f>
        <v>0.2205063131113365</v>
      </c>
      <c r="E3">
        <f>unicount!E3/pop!E3*1000000-unicount!$N3/pop!$N3*1000000</f>
        <v>-2.0282466126252729E-2</v>
      </c>
      <c r="F3">
        <f>unicount!F3/pop!F3*1000000-unicount!$N3/pop!$N3*1000000</f>
        <v>-2.6126997433435939E-2</v>
      </c>
      <c r="G3">
        <f>unicount!G3/pop!G3*1000000-unicount!$N3/pop!$N3*1000000</f>
        <v>-0.18387936518944015</v>
      </c>
      <c r="H3">
        <f>unicount!H3/pop!H3*1000000-unicount!$N3/pop!$N3*1000000</f>
        <v>-0.35451643218871931</v>
      </c>
      <c r="I3">
        <f>unicount!I3/pop!I3*1000000-unicount!$N3/pop!$N3*1000000</f>
        <v>0.1624649751731454</v>
      </c>
      <c r="J3">
        <f>unicount!J3/pop!J3*1000000-unicount!$N3/pop!$N3*1000000</f>
        <v>-0.1183708066313941</v>
      </c>
      <c r="K3">
        <f>unicount!K3/pop!K3*1000000-unicount!$N3/pop!$N3*1000000</f>
        <v>-0.44095381583560483</v>
      </c>
      <c r="L3">
        <f>unicount!L3/pop!L3*1000000-unicount!$N3/pop!$N3*1000000</f>
        <v>0.73045696620384426</v>
      </c>
      <c r="M3">
        <f>unicount!M3/pop!M3*1000000-unicount!$N3/pop!$N3*1000000</f>
        <v>0.51458067470718638</v>
      </c>
    </row>
    <row r="4" spans="1:13" x14ac:dyDescent="0.3">
      <c r="A4">
        <v>1977</v>
      </c>
      <c r="B4">
        <f>unicount!B4/pop!B4*1000000-unicount!$N4/pop!$N4*1000000</f>
        <v>-3.6306280254498779E-2</v>
      </c>
      <c r="C4">
        <f>unicount!C4/pop!C4*1000000-unicount!$N4/pop!$N4*1000000</f>
        <v>-0.21921801930667595</v>
      </c>
      <c r="D4">
        <f>unicount!D4/pop!D4*1000000-unicount!$N4/pop!$N4*1000000</f>
        <v>0.22035983881702348</v>
      </c>
      <c r="E4">
        <f>unicount!E4/pop!E4*1000000-unicount!$N4/pop!$N4*1000000</f>
        <v>-2.0233755463356928E-2</v>
      </c>
      <c r="F4">
        <f>unicount!F4/pop!F4*1000000-unicount!$N4/pop!$N4*1000000</f>
        <v>-2.6268181695246917E-2</v>
      </c>
      <c r="G4">
        <f>unicount!G4/pop!G4*1000000-unicount!$N4/pop!$N4*1000000</f>
        <v>-0.18384307129344313</v>
      </c>
      <c r="H4">
        <f>unicount!H4/pop!H4*1000000-unicount!$N4/pop!$N4*1000000</f>
        <v>-0.35474340184654596</v>
      </c>
      <c r="I4">
        <f>unicount!I4/pop!I4*1000000-unicount!$N4/pop!$N4*1000000</f>
        <v>0.16257057197103997</v>
      </c>
      <c r="J4">
        <f>unicount!J4/pop!J4*1000000-unicount!$N4/pop!$N4*1000000</f>
        <v>-0.11821367166543262</v>
      </c>
      <c r="K4">
        <f>unicount!K4/pop!K4*1000000-unicount!$N4/pop!$N4*1000000</f>
        <v>-0.44131058061574813</v>
      </c>
      <c r="L4">
        <f>unicount!L4/pop!L4*1000000-unicount!$N4/pop!$N4*1000000</f>
        <v>0.73237199536631226</v>
      </c>
      <c r="M4">
        <f>unicount!M4/pop!M4*1000000-unicount!$N4/pop!$N4*1000000</f>
        <v>0.51456209044053669</v>
      </c>
    </row>
    <row r="5" spans="1:13" x14ac:dyDescent="0.3">
      <c r="A5">
        <v>1978</v>
      </c>
      <c r="B5">
        <f>unicount!B5/pop!B5*1000000-unicount!$N5/pop!$N5*1000000</f>
        <v>-3.6086771133687856E-2</v>
      </c>
      <c r="C5">
        <f>unicount!C5/pop!C5*1000000-unicount!$N5/pop!$N5*1000000</f>
        <v>-0.21900691815025886</v>
      </c>
      <c r="D5">
        <f>unicount!D5/pop!D5*1000000-unicount!$N5/pop!$N5*1000000</f>
        <v>0.22040432125953879</v>
      </c>
      <c r="E5">
        <f>unicount!E5/pop!E5*1000000-unicount!$N5/pop!$N5*1000000</f>
        <v>-2.035914838771935E-2</v>
      </c>
      <c r="F5">
        <f>unicount!F5/pop!F5*1000000-unicount!$N5/pop!$N5*1000000</f>
        <v>-2.6267694278798825E-2</v>
      </c>
      <c r="G5">
        <f>unicount!G5/pop!G5*1000000-unicount!$N5/pop!$N5*1000000</f>
        <v>-0.18440593822126028</v>
      </c>
      <c r="H5">
        <f>unicount!H5/pop!H5*1000000-unicount!$N5/pop!$N5*1000000</f>
        <v>-0.35478840057639888</v>
      </c>
      <c r="I5">
        <f>unicount!I5/pop!I5*1000000-unicount!$N5/pop!$N5*1000000</f>
        <v>0.16201657740219522</v>
      </c>
      <c r="J5">
        <f>unicount!J5/pop!J5*1000000-unicount!$N5/pop!$N5*1000000</f>
        <v>-0.1187665821357119</v>
      </c>
      <c r="K5">
        <f>unicount!K5/pop!K5*1000000-unicount!$N5/pop!$N5*1000000</f>
        <v>-0.44192894276006511</v>
      </c>
      <c r="L5">
        <f>unicount!L5/pop!L5*1000000-unicount!$N5/pop!$N5*1000000</f>
        <v>0.73630690113916142</v>
      </c>
      <c r="M5">
        <f>unicount!M5/pop!M5*1000000-unicount!$N5/pop!$N5*1000000</f>
        <v>0.51450103856812923</v>
      </c>
    </row>
    <row r="6" spans="1:13" x14ac:dyDescent="0.3">
      <c r="A6">
        <v>1979</v>
      </c>
      <c r="B6">
        <f>unicount!B6/pop!B6*1000000-unicount!$N6/pop!$N6*1000000</f>
        <v>-3.5154279224236085E-2</v>
      </c>
      <c r="C6">
        <f>unicount!C6/pop!C6*1000000-unicount!$N6/pop!$N6*1000000</f>
        <v>-0.21816434243999405</v>
      </c>
      <c r="D6">
        <f>unicount!D6/pop!D6*1000000-unicount!$N6/pop!$N6*1000000</f>
        <v>0.22109203591002724</v>
      </c>
      <c r="E6">
        <f>unicount!E6/pop!E6*1000000-unicount!$N6/pop!$N6*1000000</f>
        <v>-2.0484671141525967E-2</v>
      </c>
      <c r="F6">
        <f>unicount!F6/pop!F6*1000000-unicount!$N6/pop!$N6*1000000</f>
        <v>-2.5866353954041132E-2</v>
      </c>
      <c r="G6">
        <f>unicount!G6/pop!G6*1000000-unicount!$N6/pop!$N6*1000000</f>
        <v>-0.18501609373130723</v>
      </c>
      <c r="H6">
        <f>unicount!H6/pop!H6*1000000-unicount!$N6/pop!$N6*1000000</f>
        <v>-0.35445887067076265</v>
      </c>
      <c r="I6">
        <f>unicount!I6/pop!I6*1000000-unicount!$N6/pop!$N6*1000000</f>
        <v>0.16067328845814788</v>
      </c>
      <c r="J6">
        <f>unicount!J6/pop!J6*1000000-unicount!$N6/pop!$N6*1000000</f>
        <v>-0.11980439268858012</v>
      </c>
      <c r="K6">
        <f>unicount!K6/pop!K6*1000000-unicount!$N6/pop!$N6*1000000</f>
        <v>-0.44240175423775874</v>
      </c>
      <c r="L6">
        <f>unicount!L6/pop!L6*1000000-unicount!$N6/pop!$N6*1000000</f>
        <v>0.73913621023364939</v>
      </c>
      <c r="M6">
        <f>unicount!M6/pop!M6*1000000-unicount!$N6/pop!$N6*1000000</f>
        <v>0.51038261458851419</v>
      </c>
    </row>
    <row r="7" spans="1:13" x14ac:dyDescent="0.3">
      <c r="A7">
        <v>1980</v>
      </c>
      <c r="B7">
        <f>unicount!B7/pop!B7*1000000-unicount!$N7/pop!$N7*1000000</f>
        <v>-3.3680534858920641E-2</v>
      </c>
      <c r="C7">
        <f>unicount!C7/pop!C7*1000000-unicount!$N7/pop!$N7*1000000</f>
        <v>-0.21695547619415734</v>
      </c>
      <c r="D7">
        <f>unicount!D7/pop!D7*1000000-unicount!$N7/pop!$N7*1000000</f>
        <v>0.22216710711612864</v>
      </c>
      <c r="E7">
        <f>unicount!E7/pop!E7*1000000-unicount!$N7/pop!$N7*1000000</f>
        <v>-2.0961367627292837E-2</v>
      </c>
      <c r="F7">
        <f>unicount!F7/pop!F7*1000000-unicount!$N7/pop!$N7*1000000</f>
        <v>-2.539470311687253E-2</v>
      </c>
      <c r="G7">
        <f>unicount!G7/pop!G7*1000000-unicount!$N7/pop!$N7*1000000</f>
        <v>-0.18596972647425647</v>
      </c>
      <c r="H7">
        <f>unicount!H7/pop!H7*1000000-unicount!$N7/pop!$N7*1000000</f>
        <v>-0.353995921494697</v>
      </c>
      <c r="I7">
        <f>unicount!I7/pop!I7*1000000-unicount!$N7/pop!$N7*1000000</f>
        <v>0.15872666732880214</v>
      </c>
      <c r="J7">
        <f>unicount!J7/pop!J7*1000000-unicount!$N7/pop!$N7*1000000</f>
        <v>-0.12137180949009241</v>
      </c>
      <c r="K7">
        <f>unicount!K7/pop!K7*1000000-unicount!$N7/pop!$N7*1000000</f>
        <v>-0.44258009844599266</v>
      </c>
      <c r="L7">
        <f>unicount!L7/pop!L7*1000000-unicount!$N7/pop!$N7*1000000</f>
        <v>0.7425494340272889</v>
      </c>
      <c r="M7">
        <f>unicount!M7/pop!M7*1000000-unicount!$N7/pop!$N7*1000000</f>
        <v>0.50708271240616121</v>
      </c>
    </row>
    <row r="8" spans="1:13" x14ac:dyDescent="0.3">
      <c r="A8">
        <v>1981</v>
      </c>
      <c r="B8">
        <f>unicount!B8/pop!B8*1000000-unicount!$N8/pop!$N8*1000000</f>
        <v>-4.0370381762143692E-2</v>
      </c>
      <c r="C8">
        <f>unicount!C8/pop!C8*1000000-unicount!$N8/pop!$N8*1000000</f>
        <v>-0.22269791882659828</v>
      </c>
      <c r="D8">
        <f>unicount!D8/pop!D8*1000000-unicount!$N8/pop!$N8*1000000</f>
        <v>0.21752359082060735</v>
      </c>
      <c r="E8">
        <f>unicount!E8/pop!E8*1000000-unicount!$N8/pop!$N8*1000000</f>
        <v>-2.0361756298485023E-2</v>
      </c>
      <c r="F8">
        <f>unicount!F8/pop!F8*1000000-unicount!$N8/pop!$N8*1000000</f>
        <v>-2.7827845245593785E-2</v>
      </c>
      <c r="G8">
        <f>unicount!G8/pop!G8*1000000-unicount!$N8/pop!$N8*1000000</f>
        <v>-0.18111919923211062</v>
      </c>
      <c r="H8">
        <f>unicount!H8/pop!H8*1000000-unicount!$N8/pop!$N8*1000000</f>
        <v>-0.35558641412744063</v>
      </c>
      <c r="I8">
        <f>unicount!I8/pop!I8*1000000-unicount!$N8/pop!$N8*1000000</f>
        <v>0.16740313927219308</v>
      </c>
      <c r="J8">
        <f>unicount!J8/pop!J8*1000000-unicount!$N8/pop!$N8*1000000</f>
        <v>-0.11463715245502892</v>
      </c>
      <c r="K8">
        <f>unicount!K8/pop!K8*1000000-unicount!$N8/pop!$N8*1000000</f>
        <v>-0.44361070714014345</v>
      </c>
      <c r="L8">
        <f>unicount!L8/pop!L8*1000000-unicount!$N8/pop!$N8*1000000</f>
        <v>0.74530202942460855</v>
      </c>
      <c r="M8">
        <f>unicount!M8/pop!M8*1000000-unicount!$N8/pop!$N8*1000000</f>
        <v>0.49713639209819449</v>
      </c>
    </row>
    <row r="9" spans="1:13" x14ac:dyDescent="0.3">
      <c r="A9">
        <v>1982</v>
      </c>
      <c r="B9">
        <f>unicount!B9/pop!B9*1000000-unicount!$N9/pop!$N9*1000000</f>
        <v>-3.7299376759800884E-2</v>
      </c>
      <c r="C9">
        <f>unicount!C9/pop!C9*1000000-unicount!$N9/pop!$N9*1000000</f>
        <v>-0.22032733966959006</v>
      </c>
      <c r="D9">
        <f>unicount!D9/pop!D9*1000000-unicount!$N9/pop!$N9*1000000</f>
        <v>0.2195366929624919</v>
      </c>
      <c r="E9">
        <f>unicount!E9/pop!E9*1000000-unicount!$N9/pop!$N9*1000000</f>
        <v>-2.0078816421786883E-2</v>
      </c>
      <c r="F9">
        <f>unicount!F9/pop!F9*1000000-unicount!$N9/pop!$N9*1000000</f>
        <v>-2.7064839397358931E-2</v>
      </c>
      <c r="G9">
        <f>unicount!G9/pop!G9*1000000-unicount!$N9/pop!$N9*1000000</f>
        <v>-0.18374990807932545</v>
      </c>
      <c r="H9">
        <f>unicount!H9/pop!H9*1000000-unicount!$N9/pop!$N9*1000000</f>
        <v>-0.35596899503619872</v>
      </c>
      <c r="I9">
        <f>unicount!I9/pop!I9*1000000-unicount!$N9/pop!$N9*1000000</f>
        <v>0.16301047370009236</v>
      </c>
      <c r="J9">
        <f>unicount!J9/pop!J9*1000000-unicount!$N9/pop!$N9*1000000</f>
        <v>-0.11751346908604365</v>
      </c>
      <c r="K9">
        <f>unicount!K9/pop!K9*1000000-unicount!$N9/pop!$N9*1000000</f>
        <v>-0.44282724002880069</v>
      </c>
      <c r="L9">
        <f>unicount!L9/pop!L9*1000000-unicount!$N9/pop!$N9*1000000</f>
        <v>0.74961422402202083</v>
      </c>
      <c r="M9">
        <f>unicount!M9/pop!M9*1000000-unicount!$N9/pop!$N9*1000000</f>
        <v>0.49549498022798544</v>
      </c>
    </row>
    <row r="10" spans="1:13" x14ac:dyDescent="0.3">
      <c r="A10">
        <v>1983</v>
      </c>
      <c r="B10">
        <f>unicount!B10/pop!B10*1000000-unicount!$N10/pop!$N10*1000000</f>
        <v>-5.2547335358738345E-2</v>
      </c>
      <c r="C10">
        <f>unicount!C10/pop!C10*1000000-unicount!$N10/pop!$N10*1000000</f>
        <v>-0.23550815778140566</v>
      </c>
      <c r="D10">
        <f>unicount!D10/pop!D10*1000000-unicount!$N10/pop!$N10*1000000</f>
        <v>0.20306439921480579</v>
      </c>
      <c r="E10">
        <f>unicount!E10/pop!E10*1000000-unicount!$N10/pop!$N10*1000000</f>
        <v>-3.8549512402575203E-2</v>
      </c>
      <c r="F10">
        <f>unicount!F10/pop!F10*1000000-unicount!$N10/pop!$N10*1000000</f>
        <v>-4.3827826163548966E-2</v>
      </c>
      <c r="G10">
        <f>unicount!G10/pop!G10*1000000-unicount!$N10/pop!$N10*1000000</f>
        <v>-0.20477528640044018</v>
      </c>
      <c r="H10">
        <f>unicount!H10/pop!H10*1000000-unicount!$N10/pop!$N10*1000000</f>
        <v>-0.37257610422408649</v>
      </c>
      <c r="I10">
        <f>unicount!I10/pop!I10*1000000-unicount!$N10/pop!$N10*1000000</f>
        <v>0.27861865083253634</v>
      </c>
      <c r="J10">
        <f>unicount!J10/pop!J10*1000000-unicount!$N10/pop!$N10*1000000</f>
        <v>-0.13908731552982967</v>
      </c>
      <c r="K10">
        <f>unicount!K10/pop!K10*1000000-unicount!$N10/pop!$N10*1000000</f>
        <v>-0.46010139492057484</v>
      </c>
      <c r="L10">
        <f>unicount!L10/pop!L10*1000000-unicount!$N10/pop!$N10*1000000</f>
        <v>0.73714753888307682</v>
      </c>
      <c r="M10">
        <f>unicount!M10/pop!M10*1000000-unicount!$N10/pop!$N10*1000000</f>
        <v>0.47299946501422707</v>
      </c>
    </row>
    <row r="11" spans="1:13" x14ac:dyDescent="0.3">
      <c r="A11">
        <v>1984</v>
      </c>
      <c r="B11">
        <f>unicount!B11/pop!B11*1000000-unicount!$N11/pop!$N11*1000000</f>
        <v>-4.8996850820748783E-2</v>
      </c>
      <c r="C11">
        <f>unicount!C11/pop!C11*1000000-unicount!$N11/pop!$N11*1000000</f>
        <v>-0.23245673414841062</v>
      </c>
      <c r="D11">
        <f>unicount!D11/pop!D11*1000000-unicount!$N11/pop!$N11*1000000</f>
        <v>0.20601319142934404</v>
      </c>
      <c r="E11">
        <f>unicount!E11/pop!E11*1000000-unicount!$N11/pop!$N11*1000000</f>
        <v>-3.9629208995293874E-2</v>
      </c>
      <c r="F11">
        <f>unicount!F11/pop!F11*1000000-unicount!$N11/pop!$N11*1000000</f>
        <v>-4.2381645180589733E-2</v>
      </c>
      <c r="G11">
        <f>unicount!G11/pop!G11*1000000-unicount!$N11/pop!$N11*1000000</f>
        <v>-0.20655260890938487</v>
      </c>
      <c r="H11">
        <f>unicount!H11/pop!H11*1000000-unicount!$N11/pop!$N11*1000000</f>
        <v>-0.3713336583028039</v>
      </c>
      <c r="I11">
        <f>unicount!I11/pop!I11*1000000-unicount!$N11/pop!$N11*1000000</f>
        <v>0.27136858473032899</v>
      </c>
      <c r="J11">
        <f>unicount!J11/pop!J11*1000000-unicount!$N11/pop!$N11*1000000</f>
        <v>-0.14344218755127425</v>
      </c>
      <c r="K11">
        <f>unicount!K11/pop!K11*1000000-unicount!$N11/pop!$N11*1000000</f>
        <v>-0.45841414153007543</v>
      </c>
      <c r="L11">
        <f>unicount!L11/pop!L11*1000000-unicount!$N11/pop!$N11*1000000</f>
        <v>0.74128565552898296</v>
      </c>
      <c r="M11">
        <f>unicount!M11/pop!M11*1000000-unicount!$N11/pop!$N11*1000000</f>
        <v>0.46880632881077922</v>
      </c>
    </row>
    <row r="12" spans="1:13" x14ac:dyDescent="0.3">
      <c r="A12">
        <v>1985</v>
      </c>
      <c r="B12">
        <f>unicount!B12/pop!B12*1000000-unicount!$N12/pop!$N12*1000000</f>
        <v>-4.4649662430624626E-2</v>
      </c>
      <c r="C12">
        <f>unicount!C12/pop!C12*1000000-unicount!$N12/pop!$N12*1000000</f>
        <v>-0.22926020199325825</v>
      </c>
      <c r="D12">
        <f>unicount!D12/pop!D12*1000000-unicount!$N12/pop!$N12*1000000</f>
        <v>0.20917866045026201</v>
      </c>
      <c r="E12">
        <f>unicount!E12/pop!E12*1000000-unicount!$N12/pop!$N12*1000000</f>
        <v>-4.1677268877856832E-2</v>
      </c>
      <c r="F12">
        <f>unicount!F12/pop!F12*1000000-unicount!$N12/pop!$N12*1000000</f>
        <v>-4.1408443828195196E-2</v>
      </c>
      <c r="G12">
        <f>unicount!G12/pop!G12*1000000-unicount!$N12/pop!$N12*1000000</f>
        <v>-0.20900196279595495</v>
      </c>
      <c r="H12">
        <f>unicount!H12/pop!H12*1000000-unicount!$N12/pop!$N12*1000000</f>
        <v>-0.37005294050337451</v>
      </c>
      <c r="I12">
        <f>unicount!I12/pop!I12*1000000-unicount!$N12/pop!$N12*1000000</f>
        <v>0.26569746358214885</v>
      </c>
      <c r="J12">
        <f>unicount!J12/pop!J12*1000000-unicount!$N12/pop!$N12*1000000</f>
        <v>-0.14738733490886846</v>
      </c>
      <c r="K12">
        <f>unicount!K12/pop!K12*1000000-unicount!$N12/pop!$N12*1000000</f>
        <v>-0.45667134228584577</v>
      </c>
      <c r="L12">
        <f>unicount!L12/pop!L12*1000000-unicount!$N12/pop!$N12*1000000</f>
        <v>0.74671177359897645</v>
      </c>
      <c r="M12">
        <f>unicount!M12/pop!M12*1000000-unicount!$N12/pop!$N12*1000000</f>
        <v>0.46424766916950821</v>
      </c>
    </row>
    <row r="13" spans="1:13" x14ac:dyDescent="0.3">
      <c r="A13">
        <v>1986</v>
      </c>
      <c r="B13">
        <f>unicount!B13/pop!B13*1000000-unicount!$N13/pop!$N13*1000000</f>
        <v>-4.0572006293674079E-2</v>
      </c>
      <c r="C13">
        <f>unicount!C13/pop!C13*1000000-unicount!$N13/pop!$N13*1000000</f>
        <v>-0.22609689931301791</v>
      </c>
      <c r="D13">
        <f>unicount!D13/pop!D13*1000000-unicount!$N13/pop!$N13*1000000</f>
        <v>0.21230902293391374</v>
      </c>
      <c r="E13">
        <f>unicount!E13/pop!E13*1000000-unicount!$N13/pop!$N13*1000000</f>
        <v>-4.3825507502330829E-2</v>
      </c>
      <c r="F13">
        <f>unicount!F13/pop!F13*1000000-unicount!$N13/pop!$N13*1000000</f>
        <v>-3.9310499061396609E-2</v>
      </c>
      <c r="G13">
        <f>unicount!G13/pop!G13*1000000-unicount!$N13/pop!$N13*1000000</f>
        <v>-0.2114308721478646</v>
      </c>
      <c r="H13">
        <f>unicount!H13/pop!H13*1000000-unicount!$N13/pop!$N13*1000000</f>
        <v>-0.36866213466869813</v>
      </c>
      <c r="I13">
        <f>unicount!I13/pop!I13*1000000-unicount!$N13/pop!$N13*1000000</f>
        <v>0.25967953879233052</v>
      </c>
      <c r="J13">
        <f>unicount!J13/pop!J13*1000000-unicount!$N13/pop!$N13*1000000</f>
        <v>-0.15183198385542784</v>
      </c>
      <c r="K13">
        <f>unicount!K13/pop!K13*1000000-unicount!$N13/pop!$N13*1000000</f>
        <v>-0.45576078271346177</v>
      </c>
      <c r="L13">
        <f>unicount!L13/pop!L13*1000000-unicount!$N13/pop!$N13*1000000</f>
        <v>0.75348773064210595</v>
      </c>
      <c r="M13">
        <f>unicount!M13/pop!M13*1000000-unicount!$N13/pop!$N13*1000000</f>
        <v>0.45953307035113733</v>
      </c>
    </row>
    <row r="14" spans="1:13" x14ac:dyDescent="0.3">
      <c r="A14">
        <v>1987</v>
      </c>
      <c r="B14">
        <f>unicount!B14/pop!B14*1000000-unicount!$N14/pop!$N14*1000000</f>
        <v>-3.7535187431284589E-2</v>
      </c>
      <c r="C14">
        <f>unicount!C14/pop!C14*1000000-unicount!$N14/pop!$N14*1000000</f>
        <v>-0.22334894725424581</v>
      </c>
      <c r="D14">
        <f>unicount!D14/pop!D14*1000000-unicount!$N14/pop!$N14*1000000</f>
        <v>0.21496680272989555</v>
      </c>
      <c r="E14">
        <f>unicount!E14/pop!E14*1000000-unicount!$N14/pop!$N14*1000000</f>
        <v>-4.5527698376818804E-2</v>
      </c>
      <c r="F14">
        <f>unicount!F14/pop!F14*1000000-unicount!$N14/pop!$N14*1000000</f>
        <v>-3.9766992417016311E-2</v>
      </c>
      <c r="G14">
        <f>unicount!G14/pop!G14*1000000-unicount!$N14/pop!$N14*1000000</f>
        <v>-0.21347036779303918</v>
      </c>
      <c r="H14">
        <f>unicount!H14/pop!H14*1000000-unicount!$N14/pop!$N14*1000000</f>
        <v>-0.36637938513438628</v>
      </c>
      <c r="I14">
        <f>unicount!I14/pop!I14*1000000-unicount!$N14/pop!$N14*1000000</f>
        <v>0.25614849228733505</v>
      </c>
      <c r="J14">
        <f>unicount!J14/pop!J14*1000000-unicount!$N14/pop!$N14*1000000</f>
        <v>-0.15615069106980828</v>
      </c>
      <c r="K14">
        <f>unicount!K14/pop!K14*1000000-unicount!$N14/pop!$N14*1000000</f>
        <v>-0.45551857083083575</v>
      </c>
      <c r="L14">
        <f>unicount!L14/pop!L14*1000000-unicount!$N14/pop!$N14*1000000</f>
        <v>0.75913322956539175</v>
      </c>
      <c r="M14">
        <f>unicount!M14/pop!M14*1000000-unicount!$N14/pop!$N14*1000000</f>
        <v>0.4544206474151028</v>
      </c>
    </row>
    <row r="15" spans="1:13" x14ac:dyDescent="0.3">
      <c r="A15">
        <v>1988</v>
      </c>
      <c r="B15">
        <f>unicount!B15/pop!B15*1000000-unicount!$N15/pop!$N15*1000000</f>
        <v>-3.3695883046665043E-2</v>
      </c>
      <c r="C15">
        <f>unicount!C15/pop!C15*1000000-unicount!$N15/pop!$N15*1000000</f>
        <v>-0.22097380976724168</v>
      </c>
      <c r="D15">
        <f>unicount!D15/pop!D15*1000000-unicount!$N15/pop!$N15*1000000</f>
        <v>0.21456075569224931</v>
      </c>
      <c r="E15">
        <f>unicount!E15/pop!E15*1000000-unicount!$N15/pop!$N15*1000000</f>
        <v>-4.8846168463622663E-2</v>
      </c>
      <c r="F15">
        <f>unicount!F15/pop!F15*1000000-unicount!$N15/pop!$N15*1000000</f>
        <v>-3.9564962152518923E-2</v>
      </c>
      <c r="G15">
        <f>unicount!G15/pop!G15*1000000-unicount!$N15/pop!$N15*1000000</f>
        <v>-0.21528261690529649</v>
      </c>
      <c r="H15">
        <f>unicount!H15/pop!H15*1000000-unicount!$N15/pop!$N15*1000000</f>
        <v>-0.36239451666077771</v>
      </c>
      <c r="I15">
        <f>unicount!I15/pop!I15*1000000-unicount!$N15/pop!$N15*1000000</f>
        <v>0.25132117201996396</v>
      </c>
      <c r="J15">
        <f>unicount!J15/pop!J15*1000000-unicount!$N15/pop!$N15*1000000</f>
        <v>-0.16101123120968786</v>
      </c>
      <c r="K15">
        <f>unicount!K15/pop!K15*1000000-unicount!$N15/pop!$N15*1000000</f>
        <v>-0.45623977282496697</v>
      </c>
      <c r="L15">
        <f>unicount!L15/pop!L15*1000000-unicount!$N15/pop!$N15*1000000</f>
        <v>0.76740583223447656</v>
      </c>
      <c r="M15">
        <f>unicount!M15/pop!M15*1000000-unicount!$N15/pop!$N15*1000000</f>
        <v>0.45330755881047358</v>
      </c>
    </row>
    <row r="16" spans="1:13" x14ac:dyDescent="0.3">
      <c r="A16">
        <v>1989</v>
      </c>
      <c r="B16">
        <f>unicount!B16/pop!B16*1000000-unicount!$N16/pop!$N16*1000000</f>
        <v>-3.1377444648575614E-2</v>
      </c>
      <c r="C16">
        <f>unicount!C16/pop!C16*1000000-unicount!$N16/pop!$N16*1000000</f>
        <v>-0.21983264058756979</v>
      </c>
      <c r="D16">
        <f>unicount!D16/pop!D16*1000000-unicount!$N16/pop!$N16*1000000</f>
        <v>0.21190329825094312</v>
      </c>
      <c r="E16">
        <f>unicount!E16/pop!E16*1000000-unicount!$N16/pop!$N16*1000000</f>
        <v>-5.1424413536801494E-2</v>
      </c>
      <c r="F16">
        <f>unicount!F16/pop!F16*1000000-unicount!$N16/pop!$N16*1000000</f>
        <v>-3.871313783412722E-2</v>
      </c>
      <c r="G16">
        <f>unicount!G16/pop!G16*1000000-unicount!$N16/pop!$N16*1000000</f>
        <v>-0.21423613054366897</v>
      </c>
      <c r="H16">
        <f>unicount!H16/pop!H16*1000000-unicount!$N16/pop!$N16*1000000</f>
        <v>-0.36159496444785377</v>
      </c>
      <c r="I16">
        <f>unicount!I16/pop!I16*1000000-unicount!$N16/pop!$N16*1000000</f>
        <v>0.25107212268783885</v>
      </c>
      <c r="J16">
        <f>unicount!J16/pop!J16*1000000-unicount!$N16/pop!$N16*1000000</f>
        <v>-0.1612657989801658</v>
      </c>
      <c r="K16">
        <f>unicount!K16/pop!K16*1000000-unicount!$N16/pop!$N16*1000000</f>
        <v>-0.45569842299976854</v>
      </c>
      <c r="L16">
        <f>unicount!L16/pop!L16*1000000-unicount!$N16/pop!$N16*1000000</f>
        <v>0.76942476355941969</v>
      </c>
      <c r="M16">
        <f>unicount!M16/pop!M16*1000000-unicount!$N16/pop!$N16*1000000</f>
        <v>0.45160868667988419</v>
      </c>
    </row>
    <row r="17" spans="1:13" x14ac:dyDescent="0.3">
      <c r="A17">
        <v>1990</v>
      </c>
      <c r="B17">
        <f>unicount!B17/pop!B17*1000000-unicount!$N17/pop!$N17*1000000</f>
        <v>-2.9770729398829521E-2</v>
      </c>
      <c r="C17">
        <f>unicount!C17/pop!C17*1000000-unicount!$N17/pop!$N17*1000000</f>
        <v>-0.21796510834219185</v>
      </c>
      <c r="D17">
        <f>unicount!D17/pop!D17*1000000-unicount!$N17/pop!$N17*1000000</f>
        <v>0.21237916773084797</v>
      </c>
      <c r="E17">
        <f>unicount!E17/pop!E17*1000000-unicount!$N17/pop!$N17*1000000</f>
        <v>-5.2349381970397513E-2</v>
      </c>
      <c r="F17">
        <f>unicount!F17/pop!F17*1000000-unicount!$N17/pop!$N17*1000000</f>
        <v>-3.7150960032864777E-2</v>
      </c>
      <c r="G17">
        <f>unicount!G17/pop!G17*1000000-unicount!$N17/pop!$N17*1000000</f>
        <v>-0.21404165352001636</v>
      </c>
      <c r="H17">
        <f>unicount!H17/pop!H17*1000000-unicount!$N17/pop!$N17*1000000</f>
        <v>-0.3624134510625257</v>
      </c>
      <c r="I17">
        <f>unicount!I17/pop!I17*1000000-unicount!$N17/pop!$N17*1000000</f>
        <v>0.24923206264882114</v>
      </c>
      <c r="J17">
        <f>unicount!J17/pop!J17*1000000-unicount!$N17/pop!$N17*1000000</f>
        <v>-0.16102119662926628</v>
      </c>
      <c r="K17">
        <f>unicount!K17/pop!K17*1000000-unicount!$N17/pop!$N17*1000000</f>
        <v>-0.45420163596122037</v>
      </c>
      <c r="L17">
        <f>unicount!L17/pop!L17*1000000-unicount!$N17/pop!$N17*1000000</f>
        <v>0.77073155321348219</v>
      </c>
      <c r="M17">
        <f>unicount!M17/pop!M17*1000000-unicount!$N17/pop!$N17*1000000</f>
        <v>0.44977828050222213</v>
      </c>
    </row>
    <row r="18" spans="1:13" x14ac:dyDescent="0.3">
      <c r="A18">
        <v>1991</v>
      </c>
      <c r="B18">
        <f>unicount!B18/pop!B18*1000000-unicount!$N18/pop!$N18*1000000</f>
        <v>-2.7754251798345009E-2</v>
      </c>
      <c r="C18">
        <f>unicount!C18/pop!C18*1000000-unicount!$N18/pop!$N18*1000000</f>
        <v>-0.21631907255900462</v>
      </c>
      <c r="D18">
        <f>unicount!D18/pop!D18*1000000-unicount!$N18/pop!$N18*1000000</f>
        <v>0.21209075670959399</v>
      </c>
      <c r="E18">
        <f>unicount!E18/pop!E18*1000000-unicount!$N18/pop!$N18*1000000</f>
        <v>-5.2988162274556161E-2</v>
      </c>
      <c r="F18">
        <f>unicount!F18/pop!F18*1000000-unicount!$N18/pop!$N18*1000000</f>
        <v>-3.5992310604306632E-2</v>
      </c>
      <c r="G18">
        <f>unicount!G18/pop!G18*1000000-unicount!$N18/pop!$N18*1000000</f>
        <v>-0.21503755316288165</v>
      </c>
      <c r="H18">
        <f>unicount!H18/pop!H18*1000000-unicount!$N18/pop!$N18*1000000</f>
        <v>-0.36157191181999798</v>
      </c>
      <c r="I18">
        <f>unicount!I18/pop!I18*1000000-unicount!$N18/pop!$N18*1000000</f>
        <v>0.24774997505128971</v>
      </c>
      <c r="J18">
        <f>unicount!J18/pop!J18*1000000-unicount!$N18/pop!$N18*1000000</f>
        <v>-0.16095679668805729</v>
      </c>
      <c r="K18">
        <f>unicount!K18/pop!K18*1000000-unicount!$N18/pop!$N18*1000000</f>
        <v>-0.45278646467747025</v>
      </c>
      <c r="L18">
        <f>unicount!L18/pop!L18*1000000-unicount!$N18/pop!$N18*1000000</f>
        <v>0.77292612562859464</v>
      </c>
      <c r="M18">
        <f>unicount!M18/pop!M18*1000000-unicount!$N18/pop!$N18*1000000</f>
        <v>0.44346809127957987</v>
      </c>
    </row>
    <row r="19" spans="1:13" x14ac:dyDescent="0.3">
      <c r="A19">
        <v>1992</v>
      </c>
      <c r="B19">
        <f>unicount!B19/pop!B19*1000000-unicount!$N19/pop!$N19*1000000</f>
        <v>0.4881506056670164</v>
      </c>
      <c r="C19">
        <f>unicount!C19/pop!C19*1000000-unicount!$N19/pop!$N19*1000000</f>
        <v>-0.41812038260988404</v>
      </c>
      <c r="D19">
        <f>unicount!D19/pop!D19*1000000-unicount!$N19/pop!$N19*1000000</f>
        <v>0.37717881482367432</v>
      </c>
      <c r="E19">
        <f>unicount!E19/pop!E19*1000000-unicount!$N19/pop!$N19*1000000</f>
        <v>4.5007675847655415E-2</v>
      </c>
      <c r="F19">
        <f>unicount!F19/pop!F19*1000000-unicount!$N19/pop!$N19*1000000</f>
        <v>8.6124495146619573E-2</v>
      </c>
      <c r="G19">
        <f>unicount!G19/pop!G19*1000000-unicount!$N19/pop!$N19*1000000</f>
        <v>-0.46908534555334802</v>
      </c>
      <c r="H19">
        <f>unicount!H19/pop!H19*1000000-unicount!$N19/pop!$N19*1000000</f>
        <v>0.16932307477102393</v>
      </c>
      <c r="I19">
        <f>unicount!I19/pop!I19*1000000-unicount!$N19/pop!$N19*1000000</f>
        <v>-4.6881175966648758E-3</v>
      </c>
      <c r="J19">
        <f>unicount!J19/pop!J19*1000000-unicount!$N19/pop!$N19*1000000</f>
        <v>-0.16853251784985801</v>
      </c>
      <c r="K19">
        <f>unicount!K19/pop!K19*1000000-unicount!$N19/pop!$N19*1000000</f>
        <v>-0.74635878225468766</v>
      </c>
      <c r="L19">
        <f>unicount!L19/pop!L19*1000000-unicount!$N19/pop!$N19*1000000</f>
        <v>0.72161169337591868</v>
      </c>
      <c r="M19">
        <f>unicount!M19/pop!M19*1000000-unicount!$N19/pop!$N19*1000000</f>
        <v>-0.20930010786025011</v>
      </c>
    </row>
    <row r="20" spans="1:13" x14ac:dyDescent="0.3">
      <c r="A20">
        <v>1993</v>
      </c>
      <c r="B20">
        <f>unicount!B20/pop!B20*1000000-unicount!$N20/pop!$N20*1000000</f>
        <v>0.43745780216178454</v>
      </c>
      <c r="C20">
        <f>unicount!C20/pop!C20*1000000-unicount!$N20/pop!$N20*1000000</f>
        <v>-0.46772152047832649</v>
      </c>
      <c r="D20">
        <f>unicount!D20/pop!D20*1000000-unicount!$N20/pop!$N20*1000000</f>
        <v>0.32655579828813708</v>
      </c>
      <c r="E20">
        <f>unicount!E20/pop!E20*1000000-unicount!$N20/pop!$N20*1000000</f>
        <v>-1.0776929589594308E-2</v>
      </c>
      <c r="F20">
        <f>unicount!F20/pop!F20*1000000-unicount!$N20/pop!$N20*1000000</f>
        <v>3.4885859405133335E-2</v>
      </c>
      <c r="G20">
        <f>unicount!G20/pop!G20*1000000-unicount!$N20/pop!$N20*1000000</f>
        <v>-0.32604488301424794</v>
      </c>
      <c r="H20">
        <f>unicount!H20/pop!H20*1000000-unicount!$N20/pop!$N20*1000000</f>
        <v>0.263128931726343</v>
      </c>
      <c r="I20">
        <f>unicount!I20/pop!I20*1000000-unicount!$N20/pop!$N20*1000000</f>
        <v>-5.6539699494845053E-2</v>
      </c>
      <c r="J20">
        <f>unicount!J20/pop!J20*1000000-unicount!$N20/pop!$N20*1000000</f>
        <v>-0.22258077692913902</v>
      </c>
      <c r="K20">
        <f>unicount!K20/pop!K20*1000000-unicount!$N20/pop!$N20*1000000</f>
        <v>-0.79652842350449848</v>
      </c>
      <c r="L20">
        <f>unicount!L20/pop!L20*1000000-unicount!$N20/pop!$N20*1000000</f>
        <v>0.86630058400963206</v>
      </c>
      <c r="M20">
        <f>unicount!M20/pop!M20*1000000-unicount!$N20/pop!$N20*1000000</f>
        <v>-0.26731303721848421</v>
      </c>
    </row>
    <row r="21" spans="1:13" x14ac:dyDescent="0.3">
      <c r="A21">
        <v>1994</v>
      </c>
      <c r="B21">
        <f>unicount!B21/pop!B21*1000000-unicount!$N21/pop!$N21*1000000</f>
        <v>0.41064264571983089</v>
      </c>
      <c r="C21">
        <f>unicount!C21/pop!C21*1000000-unicount!$N21/pop!$N21*1000000</f>
        <v>-0.35107976676466812</v>
      </c>
      <c r="D21">
        <f>unicount!D21/pop!D21*1000000-unicount!$N21/pop!$N21*1000000</f>
        <v>0.29362645422743094</v>
      </c>
      <c r="E21">
        <f>unicount!E21/pop!E21*1000000-unicount!$N21/pop!$N21*1000000</f>
        <v>-4.727911485312486E-2</v>
      </c>
      <c r="F21">
        <f>unicount!F21/pop!F21*1000000-unicount!$N21/pop!$N21*1000000</f>
        <v>3.156328977037326E-3</v>
      </c>
      <c r="G21">
        <f>unicount!G21/pop!G21*1000000-unicount!$N21/pop!$N21*1000000</f>
        <v>-0.3620902747303647</v>
      </c>
      <c r="H21">
        <f>unicount!H21/pop!H21*1000000-unicount!$N21/pop!$N21*1000000</f>
        <v>0.22497074900222747</v>
      </c>
      <c r="I21">
        <f>unicount!I21/pop!I21*1000000-unicount!$N21/pop!$N21*1000000</f>
        <v>-9.4434206048831681E-2</v>
      </c>
      <c r="J21">
        <f>unicount!J21/pop!J21*1000000-unicount!$N21/pop!$N21*1000000</f>
        <v>-0.25957939109519068</v>
      </c>
      <c r="K21">
        <f>unicount!K21/pop!K21*1000000-unicount!$N21/pop!$N21*1000000</f>
        <v>-0.82819316713693125</v>
      </c>
      <c r="L21">
        <f>unicount!L21/pop!L21*1000000-unicount!$N21/pop!$N21*1000000</f>
        <v>1.0270626567154022</v>
      </c>
      <c r="M21">
        <f>unicount!M21/pop!M21*1000000-unicount!$N21/pop!$N21*1000000</f>
        <v>-0.30409079821655816</v>
      </c>
    </row>
    <row r="22" spans="1:13" x14ac:dyDescent="0.3">
      <c r="A22">
        <v>1995</v>
      </c>
      <c r="B22">
        <f>unicount!B22/pop!B22*1000000-unicount!$N22/pop!$N22*1000000</f>
        <v>0.41935332486388877</v>
      </c>
      <c r="C22">
        <f>unicount!C22/pop!C22*1000000-unicount!$N22/pop!$N22*1000000</f>
        <v>-0.3449374658356914</v>
      </c>
      <c r="D22">
        <f>unicount!D22/pop!D22*1000000-unicount!$N22/pop!$N22*1000000</f>
        <v>0.29771187679733724</v>
      </c>
      <c r="E22">
        <f>unicount!E22/pop!E22*1000000-unicount!$N22/pop!$N22*1000000</f>
        <v>-5.019749834683207E-2</v>
      </c>
      <c r="F22">
        <f>unicount!F22/pop!F22*1000000-unicount!$N22/pop!$N22*1000000</f>
        <v>5.2123226072271489E-3</v>
      </c>
      <c r="G22">
        <f>unicount!G22/pop!G22*1000000-unicount!$N22/pop!$N22*1000000</f>
        <v>-0.36401117860916732</v>
      </c>
      <c r="H22">
        <f>unicount!H22/pop!H22*1000000-unicount!$N22/pop!$N22*1000000</f>
        <v>0.21923516466520443</v>
      </c>
      <c r="I22">
        <f>unicount!I22/pop!I22*1000000-unicount!$N22/pop!$N22*1000000</f>
        <v>-9.9611936347595575E-2</v>
      </c>
      <c r="J22">
        <f>unicount!J22/pop!J22*1000000-unicount!$N22/pop!$N22*1000000</f>
        <v>-0.26185099617660601</v>
      </c>
      <c r="K22">
        <f>unicount!K22/pop!K22*1000000-unicount!$N22/pop!$N22*1000000</f>
        <v>-0.82419302432429209</v>
      </c>
      <c r="L22">
        <f>unicount!L22/pop!L22*1000000-unicount!$N22/pop!$N22*1000000</f>
        <v>1.0305777353307786</v>
      </c>
      <c r="M22">
        <f>unicount!M22/pop!M22*1000000-unicount!$N22/pop!$N22*1000000</f>
        <v>-0.30381119447153693</v>
      </c>
    </row>
    <row r="23" spans="1:13" x14ac:dyDescent="0.3">
      <c r="A23">
        <v>1996</v>
      </c>
      <c r="B23">
        <f>unicount!B23/pop!B23*1000000-unicount!$N23/pop!$N23*1000000</f>
        <v>0.4277025909731702</v>
      </c>
      <c r="C23">
        <f>unicount!C23/pop!C23*1000000-unicount!$N23/pop!$N23*1000000</f>
        <v>-0.33814809187377581</v>
      </c>
      <c r="D23">
        <f>unicount!D23/pop!D23*1000000-unicount!$N23/pop!$N23*1000000</f>
        <v>0.30110530838653826</v>
      </c>
      <c r="E23">
        <f>unicount!E23/pop!E23*1000000-unicount!$N23/pop!$N23*1000000</f>
        <v>-5.2412321730086031E-2</v>
      </c>
      <c r="F23">
        <f>unicount!F23/pop!F23*1000000-unicount!$N23/pop!$N23*1000000</f>
        <v>7.0801299384726235E-3</v>
      </c>
      <c r="G23">
        <f>unicount!G23/pop!G23*1000000-unicount!$N23/pop!$N23*1000000</f>
        <v>-0.36632975342729357</v>
      </c>
      <c r="H23">
        <f>unicount!H23/pop!H23*1000000-unicount!$N23/pop!$N23*1000000</f>
        <v>0.20762420140594595</v>
      </c>
      <c r="I23">
        <f>unicount!I23/pop!I23*1000000-unicount!$N23/pop!$N23*1000000</f>
        <v>-0.10276917752566828</v>
      </c>
      <c r="J23">
        <f>unicount!J23/pop!J23*1000000-unicount!$N23/pop!$N23*1000000</f>
        <v>-0.26115011254706255</v>
      </c>
      <c r="K23">
        <f>unicount!K23/pop!K23*1000000-unicount!$N23/pop!$N23*1000000</f>
        <v>-0.82122182244425723</v>
      </c>
      <c r="L23">
        <f>unicount!L23/pop!L23*1000000-unicount!$N23/pop!$N23*1000000</f>
        <v>1.0399718940168741</v>
      </c>
      <c r="M23">
        <f>unicount!M23/pop!M23*1000000-unicount!$N23/pop!$N23*1000000</f>
        <v>-0.30943792430456263</v>
      </c>
    </row>
    <row r="24" spans="1:13" x14ac:dyDescent="0.3">
      <c r="A24">
        <v>1997</v>
      </c>
      <c r="B24">
        <f>unicount!B24/pop!B24*1000000-unicount!$N24/pop!$N24*1000000</f>
        <v>0.43792604923515488</v>
      </c>
      <c r="C24">
        <f>unicount!C24/pop!C24*1000000-unicount!$N24/pop!$N24*1000000</f>
        <v>-0.33162035230767595</v>
      </c>
      <c r="D24">
        <f>unicount!D24/pop!D24*1000000-unicount!$N24/pop!$N24*1000000</f>
        <v>0.30634441730936834</v>
      </c>
      <c r="E24">
        <f>unicount!E24/pop!E24*1000000-unicount!$N24/pop!$N24*1000000</f>
        <v>-5.2866832845567924E-2</v>
      </c>
      <c r="F24">
        <f>unicount!F24/pop!F24*1000000-unicount!$N24/pop!$N24*1000000</f>
        <v>1.1189746357014974E-2</v>
      </c>
      <c r="G24">
        <f>unicount!G24/pop!G24*1000000-unicount!$N24/pop!$N24*1000000</f>
        <v>-0.36987761822391874</v>
      </c>
      <c r="H24">
        <f>unicount!H24/pop!H24*1000000-unicount!$N24/pop!$N24*1000000</f>
        <v>0.20159519495087186</v>
      </c>
      <c r="I24">
        <f>unicount!I24/pop!I24*1000000-unicount!$N24/pop!$N24*1000000</f>
        <v>-0.10834403197634157</v>
      </c>
      <c r="J24">
        <f>unicount!J24/pop!J24*1000000-unicount!$N24/pop!$N24*1000000</f>
        <v>-0.26613847092494436</v>
      </c>
      <c r="K24">
        <f>unicount!K24/pop!K24*1000000-unicount!$N24/pop!$N24*1000000</f>
        <v>-0.81819425877767216</v>
      </c>
      <c r="L24">
        <f>unicount!L24/pop!L24*1000000-unicount!$N24/pop!$N24*1000000</f>
        <v>1.0483294092430619</v>
      </c>
      <c r="M24">
        <f>unicount!M24/pop!M24*1000000-unicount!$N24/pop!$N24*1000000</f>
        <v>-0.31239116136326728</v>
      </c>
    </row>
    <row r="25" spans="1:13" x14ac:dyDescent="0.3">
      <c r="A25">
        <v>1998</v>
      </c>
      <c r="B25">
        <f>unicount!B25/pop!B25*1000000-unicount!$N25/pop!$N25*1000000</f>
        <v>0.44753448819599528</v>
      </c>
      <c r="C25">
        <f>unicount!C25/pop!C25*1000000-unicount!$N25/pop!$N25*1000000</f>
        <v>-0.32709076760256761</v>
      </c>
      <c r="D25">
        <f>unicount!D25/pop!D25*1000000-unicount!$N25/pop!$N25*1000000</f>
        <v>0.31043976101180926</v>
      </c>
      <c r="E25">
        <f>unicount!E25/pop!E25*1000000-unicount!$N25/pop!$N25*1000000</f>
        <v>-5.3062384687512676E-2</v>
      </c>
      <c r="F25">
        <f>unicount!F25/pop!F25*1000000-unicount!$N25/pop!$N25*1000000</f>
        <v>1.272015241122193E-2</v>
      </c>
      <c r="G25">
        <f>unicount!G25/pop!G25*1000000-unicount!$N25/pop!$N25*1000000</f>
        <v>-0.37327461023248243</v>
      </c>
      <c r="H25">
        <f>unicount!H25/pop!H25*1000000-unicount!$N25/pop!$N25*1000000</f>
        <v>0.19347725530073867</v>
      </c>
      <c r="I25">
        <f>unicount!I25/pop!I25*1000000-unicount!$N25/pop!$N25*1000000</f>
        <v>-0.11054187666716397</v>
      </c>
      <c r="J25">
        <f>unicount!J25/pop!J25*1000000-unicount!$N25/pop!$N25*1000000</f>
        <v>-0.26766693121743934</v>
      </c>
      <c r="K25">
        <f>unicount!K25/pop!K25*1000000-unicount!$N25/pop!$N25*1000000</f>
        <v>-0.8151429695696214</v>
      </c>
      <c r="L25">
        <f>unicount!L25/pop!L25*1000000-unicount!$N25/pop!$N25*1000000</f>
        <v>1.0555997619218851</v>
      </c>
      <c r="M25">
        <f>unicount!M25/pop!M25*1000000-unicount!$N25/pop!$N25*1000000</f>
        <v>-0.31287987699182795</v>
      </c>
    </row>
    <row r="26" spans="1:13" x14ac:dyDescent="0.3">
      <c r="A26">
        <v>1999</v>
      </c>
      <c r="B26">
        <f>unicount!B26/pop!B26*1000000-unicount!$N26/pop!$N26*1000000</f>
        <v>0.46099800972847738</v>
      </c>
      <c r="C26">
        <f>unicount!C26/pop!C26*1000000-unicount!$N26/pop!$N26*1000000</f>
        <v>-0.31840445274332474</v>
      </c>
      <c r="D26">
        <f>unicount!D26/pop!D26*1000000-unicount!$N26/pop!$N26*1000000</f>
        <v>0.31631666251842971</v>
      </c>
      <c r="E26">
        <f>unicount!E26/pop!E26*1000000-unicount!$N26/pop!$N26*1000000</f>
        <v>-5.4612350822509814E-2</v>
      </c>
      <c r="F26">
        <f>unicount!F26/pop!F26*1000000-unicount!$N26/pop!$N26*1000000</f>
        <v>1.7917595933077513E-2</v>
      </c>
      <c r="G26">
        <f>unicount!G26/pop!G26*1000000-unicount!$N26/pop!$N26*1000000</f>
        <v>-0.37568041269581665</v>
      </c>
      <c r="H26">
        <f>unicount!H26/pop!H26*1000000-unicount!$N26/pop!$N26*1000000</f>
        <v>0.17785902738159298</v>
      </c>
      <c r="I26">
        <f>unicount!I26/pop!I26*1000000-unicount!$N26/pop!$N26*1000000</f>
        <v>-0.11678831513023114</v>
      </c>
      <c r="J26">
        <f>unicount!J26/pop!J26*1000000-unicount!$N26/pop!$N26*1000000</f>
        <v>-0.27027801059954171</v>
      </c>
      <c r="K26">
        <f>unicount!K26/pop!K26*1000000-unicount!$N26/pop!$N26*1000000</f>
        <v>-0.81003237347431256</v>
      </c>
      <c r="L26">
        <f>unicount!L26/pop!L26*1000000-unicount!$N26/pop!$N26*1000000</f>
        <v>1.0635465945233888</v>
      </c>
      <c r="M26">
        <f>unicount!M26/pop!M26*1000000-unicount!$N26/pop!$N26*1000000</f>
        <v>-0.30835965882329686</v>
      </c>
    </row>
    <row r="27" spans="1:13" x14ac:dyDescent="0.3">
      <c r="A27">
        <v>2000</v>
      </c>
      <c r="B27">
        <f>unicount!B27/pop!B27*1000000-unicount!$N27/pop!$N27*1000000</f>
        <v>0.47144356847430258</v>
      </c>
      <c r="C27">
        <f>unicount!C27/pop!C27*1000000-unicount!$N27/pop!$N27*1000000</f>
        <v>-0.31346540766232378</v>
      </c>
      <c r="D27">
        <f>unicount!D27/pop!D27*1000000-unicount!$N27/pop!$N27*1000000</f>
        <v>0.32061248681728571</v>
      </c>
      <c r="E27">
        <f>unicount!E27/pop!E27*1000000-unicount!$N27/pop!$N27*1000000</f>
        <v>-5.4899555216596729E-2</v>
      </c>
      <c r="F27">
        <f>unicount!F27/pop!F27*1000000-unicount!$N27/pop!$N27*1000000</f>
        <v>2.3721649722446614E-2</v>
      </c>
      <c r="G27">
        <f>unicount!G27/pop!G27*1000000-unicount!$N27/pop!$N27*1000000</f>
        <v>-0.37812776947307247</v>
      </c>
      <c r="H27">
        <f>unicount!H27/pop!H27*1000000-unicount!$N27/pop!$N27*1000000</f>
        <v>0.16379897550603117</v>
      </c>
      <c r="I27">
        <f>unicount!I27/pop!I27*1000000-unicount!$N27/pop!$N27*1000000</f>
        <v>-0.11779478415406475</v>
      </c>
      <c r="J27">
        <f>unicount!J27/pop!J27*1000000-unicount!$N27/pop!$N27*1000000</f>
        <v>-0.27417476486195413</v>
      </c>
      <c r="K27">
        <f>unicount!K27/pop!K27*1000000-unicount!$N27/pop!$N27*1000000</f>
        <v>-0.80639449062643975</v>
      </c>
      <c r="L27">
        <f>unicount!L27/pop!L27*1000000-unicount!$N27/pop!$N27*1000000</f>
        <v>1.0732857003919396</v>
      </c>
      <c r="M27">
        <f>unicount!M27/pop!M27*1000000-unicount!$N27/pop!$N27*1000000</f>
        <v>-0.30598791130281144</v>
      </c>
    </row>
    <row r="28" spans="1:13" x14ac:dyDescent="0.3">
      <c r="A28">
        <v>2001</v>
      </c>
      <c r="B28">
        <f>unicount!B28/pop!B28*1000000-unicount!$N28/pop!$N28*1000000</f>
        <v>0.4628418272199506</v>
      </c>
      <c r="C28">
        <f>unicount!C28/pop!C28*1000000-unicount!$N28/pop!$N28*1000000</f>
        <v>-0.32442925604470618</v>
      </c>
      <c r="D28">
        <f>unicount!D28/pop!D28*1000000-unicount!$N28/pop!$N28*1000000</f>
        <v>0.10191695691313329</v>
      </c>
      <c r="E28">
        <f>unicount!E28/pop!E28*1000000-unicount!$N28/pop!$N28*1000000</f>
        <v>0.16520275973129128</v>
      </c>
      <c r="F28">
        <f>unicount!F28/pop!F28*1000000-unicount!$N28/pop!$N28*1000000</f>
        <v>9.3505614587177099E-3</v>
      </c>
      <c r="G28">
        <f>unicount!G28/pop!G28*1000000-unicount!$N28/pop!$N28*1000000</f>
        <v>-0.394576510330793</v>
      </c>
      <c r="H28">
        <f>unicount!H28/pop!H28*1000000-unicount!$N28/pop!$N28*1000000</f>
        <v>0.13321391499988633</v>
      </c>
      <c r="I28">
        <f>unicount!I28/pop!I28*1000000-unicount!$N28/pop!$N28*1000000</f>
        <v>-0.13461088021594247</v>
      </c>
      <c r="J28">
        <f>unicount!J28/pop!J28*1000000-unicount!$N28/pop!$N28*1000000</f>
        <v>-8.9552596486515812E-2</v>
      </c>
      <c r="K28">
        <f>unicount!K28/pop!K28*1000000-unicount!$N28/pop!$N28*1000000</f>
        <v>-0.81835437160368141</v>
      </c>
      <c r="L28">
        <f>unicount!L28/pop!L28*1000000-unicount!$N28/pop!$N28*1000000</f>
        <v>1.0614468543408482</v>
      </c>
      <c r="M28">
        <f>unicount!M28/pop!M28*1000000-unicount!$N28/pop!$N28*1000000</f>
        <v>-0.32131950565366729</v>
      </c>
    </row>
    <row r="29" spans="1:13" x14ac:dyDescent="0.3">
      <c r="A29">
        <v>2002</v>
      </c>
      <c r="B29">
        <f>unicount!B29/pop!B29*1000000-unicount!$N29/pop!$N29*1000000</f>
        <v>0.48570077788531751</v>
      </c>
      <c r="C29">
        <f>unicount!C29/pop!C29*1000000-unicount!$N29/pop!$N29*1000000</f>
        <v>-0.30324593328862104</v>
      </c>
      <c r="D29">
        <f>unicount!D29/pop!D29*1000000-unicount!$N29/pop!$N29*1000000</f>
        <v>0.1176262127791734</v>
      </c>
      <c r="E29">
        <f>unicount!E29/pop!E29*1000000-unicount!$N29/pop!$N29*1000000</f>
        <v>0.17574073377023924</v>
      </c>
      <c r="F29">
        <f>unicount!F29/pop!F29*1000000-unicount!$N29/pop!$N29*1000000</f>
        <v>2.6741772275538533E-2</v>
      </c>
      <c r="G29">
        <f>unicount!G29/pop!G29*1000000-unicount!$N29/pop!$N29*1000000</f>
        <v>-0.37791261352671035</v>
      </c>
      <c r="H29">
        <f>unicount!H29/pop!H29*1000000-unicount!$N29/pop!$N29*1000000</f>
        <v>8.8492880033794741E-3</v>
      </c>
      <c r="I29">
        <f>unicount!I29/pop!I29*1000000-unicount!$N29/pop!$N29*1000000</f>
        <v>-0.11506201158191165</v>
      </c>
      <c r="J29">
        <f>unicount!J29/pop!J29*1000000-unicount!$N29/pop!$N29*1000000</f>
        <v>-7.5622324753058967E-2</v>
      </c>
      <c r="K29">
        <f>unicount!K29/pop!K29*1000000-unicount!$N29/pop!$N29*1000000</f>
        <v>-0.79808632644446897</v>
      </c>
      <c r="L29">
        <f>unicount!L29/pop!L29*1000000-unicount!$N29/pop!$N29*1000000</f>
        <v>1.0837888539803824</v>
      </c>
      <c r="M29">
        <f>unicount!M29/pop!M29*1000000-unicount!$N29/pop!$N29*1000000</f>
        <v>-0.30413502795044289</v>
      </c>
    </row>
    <row r="30" spans="1:13" x14ac:dyDescent="0.3">
      <c r="A30">
        <v>2003</v>
      </c>
      <c r="B30">
        <f>unicount!B30/pop!B30*1000000-unicount!$N30/pop!$N30*1000000</f>
        <v>0.49254323909355469</v>
      </c>
      <c r="C30">
        <f>unicount!C30/pop!C30*1000000-unicount!$N30/pop!$N30*1000000</f>
        <v>-0.30166377470606309</v>
      </c>
      <c r="D30">
        <f>unicount!D30/pop!D30*1000000-unicount!$N30/pop!$N30*1000000</f>
        <v>0.11602011626841313</v>
      </c>
      <c r="E30">
        <f>unicount!E30/pop!E30*1000000-unicount!$N30/pop!$N30*1000000</f>
        <v>0.16948896716378914</v>
      </c>
      <c r="F30">
        <f>unicount!F30/pop!F30*1000000-unicount!$N30/pop!$N30*1000000</f>
        <v>2.6609930550332672E-2</v>
      </c>
      <c r="G30">
        <f>unicount!G30/pop!G30*1000000-unicount!$N30/pop!$N30*1000000</f>
        <v>-0.37953950758552835</v>
      </c>
      <c r="H30">
        <f>unicount!H30/pop!H30*1000000-unicount!$N30/pop!$N30*1000000</f>
        <v>1.1924872357960581E-2</v>
      </c>
      <c r="I30">
        <f>unicount!I30/pop!I30*1000000-unicount!$N30/pop!$N30*1000000</f>
        <v>-0.11555114232662245</v>
      </c>
      <c r="J30">
        <f>unicount!J30/pop!J30*1000000-unicount!$N30/pop!$N30*1000000</f>
        <v>-7.7463851631001335E-2</v>
      </c>
      <c r="K30">
        <f>unicount!K30/pop!K30*1000000-unicount!$N30/pop!$N30*1000000</f>
        <v>-0.79479877586353531</v>
      </c>
      <c r="L30">
        <f>unicount!L30/pop!L30*1000000-unicount!$N30/pop!$N30*1000000</f>
        <v>1.0892579118038108</v>
      </c>
      <c r="M30">
        <f>unicount!M30/pop!M30*1000000-unicount!$N30/pop!$N30*1000000</f>
        <v>-0.30251415627959988</v>
      </c>
    </row>
    <row r="31" spans="1:13" x14ac:dyDescent="0.3">
      <c r="A31">
        <v>2004</v>
      </c>
      <c r="B31">
        <f>unicount!B31/pop!B31*1000000-unicount!$N31/pop!$N31*1000000</f>
        <v>0.46687143304831924</v>
      </c>
      <c r="C31">
        <f>unicount!C31/pop!C31*1000000-unicount!$N31/pop!$N31*1000000</f>
        <v>-0.33171597971618061</v>
      </c>
      <c r="D31">
        <f>unicount!D31/pop!D31*1000000-unicount!$N31/pop!$N31*1000000</f>
        <v>7.8785222515827202E-2</v>
      </c>
      <c r="E31">
        <f>unicount!E31/pop!E31*1000000-unicount!$N31/pop!$N31*1000000</f>
        <v>0.12989689808434202</v>
      </c>
      <c r="F31">
        <f>unicount!F31/pop!F31*1000000-unicount!$N31/pop!$N31*1000000</f>
        <v>-4.9028312363645909E-3</v>
      </c>
      <c r="G31">
        <f>unicount!G31/pop!G31*1000000-unicount!$N31/pop!$N31*1000000</f>
        <v>-0.41203044294431335</v>
      </c>
      <c r="H31">
        <f>unicount!H31/pop!H31*1000000-unicount!$N31/pop!$N31*1000000</f>
        <v>0.24777735459736583</v>
      </c>
      <c r="I31">
        <f>unicount!I31/pop!I31*1000000-unicount!$N31/pop!$N31*1000000</f>
        <v>-0.14874571249705792</v>
      </c>
      <c r="J31">
        <f>unicount!J31/pop!J31*1000000-unicount!$N31/pop!$N31*1000000</f>
        <v>-0.11188159651018181</v>
      </c>
      <c r="K31">
        <f>unicount!K31/pop!K31*1000000-unicount!$N31/pop!$N31*1000000</f>
        <v>-0.82497383370249133</v>
      </c>
      <c r="L31">
        <f>unicount!L31/pop!L31*1000000-unicount!$N31/pop!$N31*1000000</f>
        <v>1.0556472907045555</v>
      </c>
      <c r="M31">
        <f>unicount!M31/pop!M31*1000000-unicount!$N31/pop!$N31*1000000</f>
        <v>-0.33438238653347718</v>
      </c>
    </row>
    <row r="32" spans="1:13" x14ac:dyDescent="0.3">
      <c r="A32">
        <v>2005</v>
      </c>
      <c r="B32">
        <f>unicount!B32/pop!B32*1000000-unicount!$N32/pop!$N32*1000000</f>
        <v>0.30772949551016793</v>
      </c>
      <c r="C32">
        <f>unicount!C32/pop!C32*1000000-unicount!$N32/pop!$N32*1000000</f>
        <v>-0.19966683406532382</v>
      </c>
      <c r="D32">
        <f>unicount!D32/pop!D32*1000000-unicount!$N32/pop!$N32*1000000</f>
        <v>-8.9220835152320044E-2</v>
      </c>
      <c r="E32">
        <f>unicount!E32/pop!E32*1000000-unicount!$N32/pop!$N32*1000000</f>
        <v>0.19268757736161102</v>
      </c>
      <c r="F32">
        <f>unicount!F32/pop!F32*1000000-unicount!$N32/pop!$N32*1000000</f>
        <v>1.7382404029489651E-2</v>
      </c>
      <c r="G32">
        <f>unicount!G32/pop!G32*1000000-unicount!$N32/pop!$N32*1000000</f>
        <v>-0.57664444309745333</v>
      </c>
      <c r="H32">
        <f>unicount!H32/pop!H32*1000000-unicount!$N32/pop!$N32*1000000</f>
        <v>7.3684788436074955E-2</v>
      </c>
      <c r="I32">
        <f>unicount!I32/pop!I32*1000000-unicount!$N32/pop!$N32*1000000</f>
        <v>0.17335601641923448</v>
      </c>
      <c r="J32">
        <f>unicount!J32/pop!J32*1000000-unicount!$N32/pop!$N32*1000000</f>
        <v>-8.2358540911141587E-2</v>
      </c>
      <c r="K32">
        <f>unicount!K32/pop!K32*1000000-unicount!$N32/pop!$N32*1000000</f>
        <v>-0.64492732315518686</v>
      </c>
      <c r="L32">
        <f>unicount!L32/pop!L32*1000000-unicount!$N32/pop!$N32*1000000</f>
        <v>0.88866528402886469</v>
      </c>
      <c r="M32">
        <f>unicount!M32/pop!M32*1000000-unicount!$N32/pop!$N32*1000000</f>
        <v>-0.49765807924088468</v>
      </c>
    </row>
    <row r="33" spans="1:13" x14ac:dyDescent="0.3">
      <c r="A33">
        <v>2006</v>
      </c>
      <c r="B33">
        <f>unicount!B33/pop!B33*1000000-unicount!$N33/pop!$N33*1000000</f>
        <v>0.26548430889942809</v>
      </c>
      <c r="C33">
        <f>unicount!C33/pop!C33*1000000-unicount!$N33/pop!$N33*1000000</f>
        <v>-9.9490588171533112E-2</v>
      </c>
      <c r="D33">
        <f>unicount!D33/pop!D33*1000000-unicount!$N33/pop!$N33*1000000</f>
        <v>5.968625895603652E-2</v>
      </c>
      <c r="E33">
        <f>unicount!E33/pop!E33*1000000-unicount!$N33/pop!$N33*1000000</f>
        <v>0.13872978660996482</v>
      </c>
      <c r="F33">
        <f>unicount!F33/pop!F33*1000000-unicount!$N33/pop!$N33*1000000</f>
        <v>-3.143740219534874E-2</v>
      </c>
      <c r="G33">
        <f>unicount!G33/pop!G33*1000000-unicount!$N33/pop!$N33*1000000</f>
        <v>-0.44473069971268187</v>
      </c>
      <c r="H33">
        <f>unicount!H33/pop!H33*1000000-unicount!$N33/pop!$N33*1000000</f>
        <v>1.7688615302374977E-2</v>
      </c>
      <c r="I33">
        <f>unicount!I33/pop!I33*1000000-unicount!$N33/pop!$N33*1000000</f>
        <v>0.120268582230038</v>
      </c>
      <c r="J33">
        <f>unicount!J33/pop!J33*1000000-unicount!$N33/pop!$N33*1000000</f>
        <v>-0.13077853659404903</v>
      </c>
      <c r="K33">
        <f>unicount!K33/pop!K33*1000000-unicount!$N33/pop!$N33*1000000</f>
        <v>-0.68853786964451347</v>
      </c>
      <c r="L33">
        <f>unicount!L33/pop!L33*1000000-unicount!$N33/pop!$N33*1000000</f>
        <v>0.839304622845225</v>
      </c>
      <c r="M33">
        <f>unicount!M33/pop!M33*1000000-unicount!$N33/pop!$N33*1000000</f>
        <v>-0.54594626361173604</v>
      </c>
    </row>
    <row r="34" spans="1:13" x14ac:dyDescent="0.3">
      <c r="A34">
        <v>2007</v>
      </c>
      <c r="B34">
        <f>unicount!B34/pop!B34*1000000-unicount!$N34/pop!$N34*1000000</f>
        <v>0.15767126797766817</v>
      </c>
      <c r="C34">
        <f>unicount!C34/pop!C34*1000000-unicount!$N34/pop!$N34*1000000</f>
        <v>-6.2112359450505972E-2</v>
      </c>
      <c r="D34">
        <f>unicount!D34/pop!D34*1000000-unicount!$N34/pop!$N34*1000000</f>
        <v>-5.1106327922403549E-2</v>
      </c>
      <c r="E34">
        <f>unicount!E34/pop!E34*1000000-unicount!$N34/pop!$N34*1000000</f>
        <v>2.2316462811908133E-2</v>
      </c>
      <c r="F34">
        <f>unicount!F34/pop!F34*1000000-unicount!$N34/pop!$N34*1000000</f>
        <v>-0.14310139489220286</v>
      </c>
      <c r="G34">
        <f>unicount!G34/pop!G34*1000000-unicount!$N34/pop!$N34*1000000</f>
        <v>-0.55573116798397737</v>
      </c>
      <c r="H34">
        <f>unicount!H34/pop!H34*1000000-unicount!$N34/pop!$N34*1000000</f>
        <v>2.5829563774807385E-2</v>
      </c>
      <c r="I34">
        <f>unicount!I34/pop!I34*1000000-unicount!$N34/pop!$N34*1000000</f>
        <v>0.12195374336124432</v>
      </c>
      <c r="J34">
        <f>unicount!J34/pop!J34*1000000-unicount!$N34/pop!$N34*1000000</f>
        <v>-0.24666669297084098</v>
      </c>
      <c r="K34">
        <f>unicount!K34/pop!K34*1000000-unicount!$N34/pop!$N34*1000000</f>
        <v>0.20191403533036789</v>
      </c>
      <c r="L34">
        <f>unicount!L34/pop!L34*1000000-unicount!$N34/pop!$N34*1000000</f>
        <v>0.91403560131838879</v>
      </c>
      <c r="M34">
        <f>unicount!M34/pop!M34*1000000-unicount!$N34/pop!$N34*1000000</f>
        <v>-0.65862769460785797</v>
      </c>
    </row>
    <row r="35" spans="1:13" x14ac:dyDescent="0.3">
      <c r="A35">
        <v>2008</v>
      </c>
      <c r="B35">
        <f>unicount!B35/pop!B35*1000000-unicount!$N35/pop!$N35*1000000</f>
        <v>0.11827275967355644</v>
      </c>
      <c r="C35">
        <f>unicount!C35/pop!C35*1000000-unicount!$N35/pop!$N35*1000000</f>
        <v>-0.10327555230982743</v>
      </c>
      <c r="D35">
        <f>unicount!D35/pop!D35*1000000-unicount!$N35/pop!$N35*1000000</f>
        <v>-9.6563140582481832E-2</v>
      </c>
      <c r="E35">
        <f>unicount!E35/pop!E35*1000000-unicount!$N35/pop!$N35*1000000</f>
        <v>-2.6428117236986681E-2</v>
      </c>
      <c r="F35">
        <f>unicount!F35/pop!F35*1000000-unicount!$N35/pop!$N35*1000000</f>
        <v>-0.19029041772603428</v>
      </c>
      <c r="G35">
        <f>unicount!G35/pop!G35*1000000-unicount!$N35/pop!$N35*1000000</f>
        <v>-0.60149970516621032</v>
      </c>
      <c r="H35">
        <f>unicount!H35/pop!H35*1000000-unicount!$N35/pop!$N35*1000000</f>
        <v>-3.5695735229305914E-2</v>
      </c>
      <c r="I35">
        <f>unicount!I35/pop!I35*1000000-unicount!$N35/pop!$N35*1000000</f>
        <v>0.18969564959878049</v>
      </c>
      <c r="J35">
        <f>unicount!J35/pop!J35*1000000-unicount!$N35/pop!$N35*1000000</f>
        <v>-0.29080282016260695</v>
      </c>
      <c r="K35">
        <f>unicount!K35/pop!K35*1000000-unicount!$N35/pop!$N35*1000000</f>
        <v>0.8160680046344253</v>
      </c>
      <c r="L35">
        <f>unicount!L35/pop!L35*1000000-unicount!$N35/pop!$N35*1000000</f>
        <v>0.86303355284692307</v>
      </c>
      <c r="M35">
        <f>unicount!M35/pop!M35*1000000-unicount!$N35/pop!$N35*1000000</f>
        <v>-0.70367277764308733</v>
      </c>
    </row>
    <row r="36" spans="1:13" x14ac:dyDescent="0.3">
      <c r="A36">
        <v>2009</v>
      </c>
      <c r="B36">
        <f>unicount!B36/pop!B36*1000000-unicount!$N36/pop!$N36*1000000</f>
        <v>0.12645962084859907</v>
      </c>
      <c r="C36">
        <f>unicount!C36/pop!C36*1000000-unicount!$N36/pop!$N36*1000000</f>
        <v>-9.727266097549947E-2</v>
      </c>
      <c r="D36">
        <f>unicount!D36/pop!D36*1000000-unicount!$N36/pop!$N36*1000000</f>
        <v>-9.1921328150016191E-2</v>
      </c>
      <c r="E36">
        <f>unicount!E36/pop!E36*1000000-unicount!$N36/pop!$N36*1000000</f>
        <v>-2.5907876209261715E-2</v>
      </c>
      <c r="F36">
        <f>unicount!F36/pop!F36*1000000-unicount!$N36/pop!$N36*1000000</f>
        <v>-0.18688226941488884</v>
      </c>
      <c r="G36">
        <f>unicount!G36/pop!G36*1000000-unicount!$N36/pop!$N36*1000000</f>
        <v>-0.59786959236173676</v>
      </c>
      <c r="H36">
        <f>unicount!H36/pop!H36*1000000-unicount!$N36/pop!$N36*1000000</f>
        <v>-5.2307137364439038E-2</v>
      </c>
      <c r="I36">
        <f>unicount!I36/pop!I36*1000000-unicount!$N36/pop!$N36*1000000</f>
        <v>0.18718282261368446</v>
      </c>
      <c r="J36">
        <f>unicount!J36/pop!J36*1000000-unicount!$N36/pop!$N36*1000000</f>
        <v>-0.2843884108529009</v>
      </c>
      <c r="K36">
        <f>unicount!K36/pop!K36*1000000-unicount!$N36/pop!$N36*1000000</f>
        <v>0.81757604703819475</v>
      </c>
      <c r="L36">
        <f>unicount!L36/pop!L36*1000000-unicount!$N36/pop!$N36*1000000</f>
        <v>0.86093666224710685</v>
      </c>
      <c r="M36">
        <f>unicount!M36/pop!M36*1000000-unicount!$N36/pop!$N36*1000000</f>
        <v>-0.69969309560181592</v>
      </c>
    </row>
    <row r="37" spans="1:13" x14ac:dyDescent="0.3">
      <c r="A37">
        <v>2010</v>
      </c>
      <c r="B37">
        <f>unicount!B37/pop!B37*1000000-unicount!$N37/pop!$N37*1000000</f>
        <v>0.11637979269702892</v>
      </c>
      <c r="C37">
        <f>unicount!C37/pop!C37*1000000-unicount!$N37/pop!$N37*1000000</f>
        <v>-0.10703850890707689</v>
      </c>
      <c r="D37">
        <f>unicount!D37/pop!D37*1000000-unicount!$N37/pop!$N37*1000000</f>
        <v>-0.10373574512015993</v>
      </c>
      <c r="E37">
        <f>unicount!E37/pop!E37*1000000-unicount!$N37/pop!$N37*1000000</f>
        <v>-4.1470776481782989E-2</v>
      </c>
      <c r="F37">
        <f>unicount!F37/pop!F37*1000000-unicount!$N37/pop!$N37*1000000</f>
        <v>-0.19946041156754979</v>
      </c>
      <c r="G37">
        <f>unicount!G37/pop!G37*1000000-unicount!$N37/pop!$N37*1000000</f>
        <v>-0.6111011901888328</v>
      </c>
      <c r="H37">
        <f>unicount!H37/pop!H37*1000000-unicount!$N37/pop!$N37*1000000</f>
        <v>-7.9808871340321552E-2</v>
      </c>
      <c r="I37">
        <f>unicount!I37/pop!I37*1000000-unicount!$N37/pop!$N37*1000000</f>
        <v>0.16540739557485251</v>
      </c>
      <c r="J37">
        <f>unicount!J37/pop!J37*1000000-unicount!$N37/pop!$N37*1000000</f>
        <v>-0.29591403574008979</v>
      </c>
      <c r="K37">
        <f>unicount!K37/pop!K37*1000000-unicount!$N37/pop!$N37*1000000</f>
        <v>1.1343602167490319</v>
      </c>
      <c r="L37">
        <f>unicount!L37/pop!L37*1000000-unicount!$N37/pop!$N37*1000000</f>
        <v>0.84402475274376365</v>
      </c>
      <c r="M37">
        <f>unicount!M37/pop!M37*1000000-unicount!$N37/pop!$N37*1000000</f>
        <v>-0.70830342701332105</v>
      </c>
    </row>
    <row r="38" spans="1:13" x14ac:dyDescent="0.3">
      <c r="A38">
        <v>2011</v>
      </c>
      <c r="B38">
        <f>unicount!B38/pop!B38*1000000-unicount!$N38/pop!$N38*1000000</f>
        <v>0.10854151439557658</v>
      </c>
      <c r="C38">
        <f>unicount!C38/pop!C38*1000000-unicount!$N38/pop!$N38*1000000</f>
        <v>-0.11648174123668276</v>
      </c>
      <c r="D38">
        <f>unicount!D38/pop!D38*1000000-unicount!$N38/pop!$N38*1000000</f>
        <v>-0.1152729267441277</v>
      </c>
      <c r="E38">
        <f>unicount!E38/pop!E38*1000000-unicount!$N38/pop!$N38*1000000</f>
        <v>-5.4065808679586436E-2</v>
      </c>
      <c r="F38">
        <f>unicount!F38/pop!F38*1000000-unicount!$N38/pop!$N38*1000000</f>
        <v>-0.21251205317941646</v>
      </c>
      <c r="G38">
        <f>unicount!G38/pop!G38*1000000-unicount!$N38/pop!$N38*1000000</f>
        <v>-0.62312486129364375</v>
      </c>
      <c r="H38">
        <f>unicount!H38/pop!H38*1000000-unicount!$N38/pop!$N38*1000000</f>
        <v>-0.110771426189616</v>
      </c>
      <c r="I38">
        <f>unicount!I38/pop!I38*1000000-unicount!$N38/pop!$N38*1000000</f>
        <v>0.14751417217125806</v>
      </c>
      <c r="J38">
        <f>unicount!J38/pop!J38*1000000-unicount!$N38/pop!$N38*1000000</f>
        <v>-0.30797408190325504</v>
      </c>
      <c r="K38">
        <f>unicount!K38/pop!K38*1000000-unicount!$N38/pop!$N38*1000000</f>
        <v>1.1203571458894446</v>
      </c>
      <c r="L38">
        <f>unicount!L38/pop!L38*1000000-unicount!$N38/pop!$N38*1000000</f>
        <v>1.0130706666232527</v>
      </c>
      <c r="M38">
        <f>unicount!M38/pop!M38*1000000-unicount!$N38/pop!$N38*1000000</f>
        <v>-0.71481788864059781</v>
      </c>
    </row>
    <row r="39" spans="1:13" x14ac:dyDescent="0.3">
      <c r="A39">
        <v>2012</v>
      </c>
      <c r="B39">
        <f>unicount!B39/pop!B39*1000000-unicount!$N39/pop!$N39*1000000</f>
        <v>-3.8162035899349522E-2</v>
      </c>
      <c r="C39">
        <f>unicount!C39/pop!C39*1000000-unicount!$N39/pop!$N39*1000000</f>
        <v>-0.2669273029726309</v>
      </c>
      <c r="D39">
        <f>unicount!D39/pop!D39*1000000-unicount!$N39/pop!$N39*1000000</f>
        <v>-7.9995973456806535E-2</v>
      </c>
      <c r="E39">
        <f>unicount!E39/pop!E39*1000000-unicount!$N39/pop!$N39*1000000</f>
        <v>7.0633431864264296E-3</v>
      </c>
      <c r="F39">
        <f>unicount!F39/pop!F39*1000000-unicount!$N39/pop!$N39*1000000</f>
        <v>0.16553736227844595</v>
      </c>
      <c r="G39">
        <f>unicount!G39/pop!G39*1000000-unicount!$N39/pop!$N39*1000000</f>
        <v>-0.60951350014067796</v>
      </c>
      <c r="H39">
        <f>unicount!H39/pop!H39*1000000-unicount!$N39/pop!$N39*1000000</f>
        <v>-0.27946241596315802</v>
      </c>
      <c r="I39">
        <f>unicount!I39/pop!I39*1000000-unicount!$N39/pop!$N39*1000000</f>
        <v>9.9421574820002689E-2</v>
      </c>
      <c r="J39">
        <f>unicount!J39/pop!J39*1000000-unicount!$N39/pop!$N39*1000000</f>
        <v>9.9337147141099535E-2</v>
      </c>
      <c r="K39">
        <f>unicount!K39/pop!K39*1000000-unicount!$N39/pop!$N39*1000000</f>
        <v>0.96873730275858616</v>
      </c>
      <c r="L39">
        <f>unicount!L39/pop!L39*1000000-unicount!$N39/pop!$N39*1000000</f>
        <v>0.86381704625758182</v>
      </c>
      <c r="M39">
        <f>unicount!M39/pop!M39*1000000-unicount!$N39/pop!$N39*1000000</f>
        <v>-0.86586895598292579</v>
      </c>
    </row>
    <row r="40" spans="1:13" x14ac:dyDescent="0.3">
      <c r="A40">
        <v>2013</v>
      </c>
      <c r="B40">
        <f>unicount!B40/pop!B40*1000000-unicount!$N40/pop!$N40*1000000</f>
        <v>-5.945664172497156E-2</v>
      </c>
      <c r="C40">
        <f>unicount!C40/pop!C40*1000000-unicount!$N40/pop!$N40*1000000</f>
        <v>-0.29117983096892841</v>
      </c>
      <c r="D40">
        <f>unicount!D40/pop!D40*1000000-unicount!$N40/pop!$N40*1000000</f>
        <v>-0.1057146456572049</v>
      </c>
      <c r="E40">
        <f>unicount!E40/pop!E40*1000000-unicount!$N40/pop!$N40*1000000</f>
        <v>-2.551581275974768E-2</v>
      </c>
      <c r="F40">
        <f>unicount!F40/pop!F40*1000000-unicount!$N40/pop!$N40*1000000</f>
        <v>0.13371640689425424</v>
      </c>
      <c r="G40">
        <f>unicount!G40/pop!G40*1000000-unicount!$N40/pop!$N40*1000000</f>
        <v>-0.64017169780572436</v>
      </c>
      <c r="H40">
        <f>unicount!H40/pop!H40*1000000-unicount!$N40/pop!$N40*1000000</f>
        <v>-8.4134410674923776E-2</v>
      </c>
      <c r="I40">
        <f>unicount!I40/pop!I40*1000000-unicount!$N40/pop!$N40*1000000</f>
        <v>6.3179566248399821E-2</v>
      </c>
      <c r="J40">
        <f>unicount!J40/pop!J40*1000000-unicount!$N40/pop!$N40*1000000</f>
        <v>0.25255170800053928</v>
      </c>
      <c r="K40">
        <f>unicount!K40/pop!K40*1000000-unicount!$N40/pop!$N40*1000000</f>
        <v>0.62483326148447227</v>
      </c>
      <c r="L40">
        <f>unicount!L40/pop!L40*1000000-unicount!$N40/pop!$N40*1000000</f>
        <v>0.84114929395449489</v>
      </c>
      <c r="M40">
        <f>unicount!M40/pop!M40*1000000-unicount!$N40/pop!$N40*1000000</f>
        <v>-0.88821470983531725</v>
      </c>
    </row>
    <row r="41" spans="1:13" x14ac:dyDescent="0.3">
      <c r="A41">
        <v>2014</v>
      </c>
      <c r="B41">
        <f>unicount!B41/pop!B41*1000000-unicount!$N41/pop!$N41*1000000</f>
        <v>-6.549506666701066E-2</v>
      </c>
      <c r="C41">
        <f>unicount!C41/pop!C41*1000000-unicount!$N41/pop!$N41*1000000</f>
        <v>-0.30043583905408866</v>
      </c>
      <c r="D41">
        <f>unicount!D41/pop!D41*1000000-unicount!$N41/pop!$N41*1000000</f>
        <v>-0.11393437410015106</v>
      </c>
      <c r="E41">
        <f>unicount!E41/pop!E41*1000000-unicount!$N41/pop!$N41*1000000</f>
        <v>-4.2293365849449982E-2</v>
      </c>
      <c r="F41">
        <f>unicount!F41/pop!F41*1000000-unicount!$N41/pop!$N41*1000000</f>
        <v>0.1181961363048043</v>
      </c>
      <c r="G41">
        <f>unicount!G41/pop!G41*1000000-unicount!$N41/pop!$N41*1000000</f>
        <v>-0.65624180316785363</v>
      </c>
      <c r="H41">
        <f>unicount!H41/pop!H41*1000000-unicount!$N41/pop!$N41*1000000</f>
        <v>8.1071470107625387E-3</v>
      </c>
      <c r="I41">
        <f>unicount!I41/pop!I41*1000000-unicount!$N41/pop!$N41*1000000</f>
        <v>4.3002060798583708E-2</v>
      </c>
      <c r="J41">
        <f>unicount!J41/pop!J41*1000000-unicount!$N41/pop!$N41*1000000</f>
        <v>0.23229039694491171</v>
      </c>
      <c r="K41">
        <f>unicount!K41/pop!K41*1000000-unicount!$N41/pop!$N41*1000000</f>
        <v>0.62179151929696963</v>
      </c>
      <c r="L41">
        <f>unicount!L41/pop!L41*1000000-unicount!$N41/pop!$N41*1000000</f>
        <v>0.83266973895454321</v>
      </c>
      <c r="M41">
        <f>unicount!M41/pop!M41*1000000-unicount!$N41/pop!$N41*1000000</f>
        <v>-0.89578071756511202</v>
      </c>
    </row>
    <row r="42" spans="1:13" x14ac:dyDescent="0.3">
      <c r="A42">
        <v>2015</v>
      </c>
      <c r="B42">
        <f>unicount!B42/pop!B42*1000000-unicount!$N42/pop!$N42*1000000</f>
        <v>-6.7580767430836408E-2</v>
      </c>
      <c r="C42">
        <f>unicount!C42/pop!C42*1000000-unicount!$N42/pop!$N42*1000000</f>
        <v>-0.31127404074543241</v>
      </c>
      <c r="D42">
        <f>unicount!D42/pop!D42*1000000-unicount!$N42/pop!$N42*1000000</f>
        <v>-0.12231847068541235</v>
      </c>
      <c r="E42">
        <f>unicount!E42/pop!E42*1000000-unicount!$N42/pop!$N42*1000000</f>
        <v>-5.956311943154935E-2</v>
      </c>
      <c r="F42">
        <f>unicount!F42/pop!F42*1000000-unicount!$N42/pop!$N42*1000000</f>
        <v>0.27643387019480148</v>
      </c>
      <c r="G42">
        <f>unicount!G42/pop!G42*1000000-unicount!$N42/pop!$N42*1000000</f>
        <v>-0.67011720050392709</v>
      </c>
      <c r="H42">
        <f>unicount!H42/pop!H42*1000000-unicount!$N42/pop!$N42*1000000</f>
        <v>-1.8814736178765168E-2</v>
      </c>
      <c r="I42">
        <f>unicount!I42/pop!I42*1000000-unicount!$N42/pop!$N42*1000000</f>
        <v>2.4803570085772719E-2</v>
      </c>
      <c r="J42">
        <f>unicount!J42/pop!J42*1000000-unicount!$N42/pop!$N42*1000000</f>
        <v>0.21122168769420213</v>
      </c>
      <c r="K42">
        <f>unicount!K42/pop!K42*1000000-unicount!$N42/pop!$N42*1000000</f>
        <v>0.62160702467019435</v>
      </c>
      <c r="L42">
        <f>unicount!L42/pop!L42*1000000-unicount!$N42/pop!$N42*1000000</f>
        <v>0.82145753524746601</v>
      </c>
      <c r="M42">
        <f>unicount!M42/pop!M42*1000000-unicount!$N42/pop!$N42*1000000</f>
        <v>-0.90374113857458105</v>
      </c>
    </row>
    <row r="43" spans="1:13" x14ac:dyDescent="0.3">
      <c r="A43">
        <v>2016</v>
      </c>
      <c r="B43">
        <f>unicount!B43/pop!B43*1000000-unicount!$N43/pop!$N43*1000000</f>
        <v>-5.6618243777827537E-2</v>
      </c>
      <c r="C43">
        <f>unicount!C43/pop!C43*1000000-unicount!$N43/pop!$N43*1000000</f>
        <v>-0.30748759175638862</v>
      </c>
      <c r="D43">
        <f>unicount!D43/pop!D43*1000000-unicount!$N43/pop!$N43*1000000</f>
        <v>-0.11719595204772704</v>
      </c>
      <c r="E43">
        <f>unicount!E43/pop!E43*1000000-unicount!$N43/pop!$N43*1000000</f>
        <v>-6.4189580629473442E-2</v>
      </c>
      <c r="F43">
        <f>unicount!F43/pop!F43*1000000-unicount!$N43/pop!$N43*1000000</f>
        <v>0.27036756281114394</v>
      </c>
      <c r="G43">
        <f>unicount!G43/pop!G43*1000000-unicount!$N43/pop!$N43*1000000</f>
        <v>-0.50550451158509735</v>
      </c>
      <c r="H43">
        <f>unicount!H43/pop!H43*1000000-unicount!$N43/pop!$N43*1000000</f>
        <v>-0.13638934340524544</v>
      </c>
      <c r="I43">
        <f>unicount!I43/pop!I43*1000000-unicount!$N43/pop!$N43*1000000</f>
        <v>2.2000211453997887E-2</v>
      </c>
      <c r="J43">
        <f>unicount!J43/pop!J43*1000000-unicount!$N43/pop!$N43*1000000</f>
        <v>0.20487828525883178</v>
      </c>
      <c r="K43">
        <f>unicount!K43/pop!K43*1000000-unicount!$N43/pop!$N43*1000000</f>
        <v>0.63347747421941958</v>
      </c>
      <c r="L43">
        <f>unicount!L43/pop!L43*1000000-unicount!$N43/pop!$N43*1000000</f>
        <v>0.8251361963502386</v>
      </c>
      <c r="M43">
        <f>unicount!M43/pop!M43*1000000-unicount!$N43/pop!$N43*1000000</f>
        <v>-0.89447718563825651</v>
      </c>
    </row>
    <row r="44" spans="1:13" x14ac:dyDescent="0.3">
      <c r="A44">
        <v>2017</v>
      </c>
      <c r="B44">
        <f>unicount!B44/pop!B44*1000000-unicount!$N44/pop!$N44*1000000</f>
        <v>-6.5119046164973327E-2</v>
      </c>
      <c r="C44">
        <f>unicount!C44/pop!C44*1000000-unicount!$N44/pop!$N44*1000000</f>
        <v>-0.32145043587993216</v>
      </c>
      <c r="D44">
        <f>unicount!D44/pop!D44*1000000-unicount!$N44/pop!$N44*1000000</f>
        <v>5.5848215303321735E-2</v>
      </c>
      <c r="E44">
        <f>unicount!E44/pop!E44*1000000-unicount!$N44/pop!$N44*1000000</f>
        <v>-8.7264613743258668E-2</v>
      </c>
      <c r="F44">
        <f>unicount!F44/pop!F44*1000000-unicount!$N44/pop!$N44*1000000</f>
        <v>0.24954325052968263</v>
      </c>
      <c r="G44">
        <f>unicount!G44/pop!G44*1000000-unicount!$N44/pop!$N44*1000000</f>
        <v>-0.51981396569225358</v>
      </c>
      <c r="H44">
        <f>unicount!H44/pop!H44*1000000-unicount!$N44/pop!$N44*1000000</f>
        <v>-0.14765505467517226</v>
      </c>
      <c r="I44">
        <f>unicount!I44/pop!I44*1000000-unicount!$N44/pop!$N44*1000000</f>
        <v>6.1577088720550233E-3</v>
      </c>
      <c r="J44">
        <f>unicount!J44/pop!J44*1000000-unicount!$N44/pop!$N44*1000000</f>
        <v>0.18183379112650599</v>
      </c>
      <c r="K44">
        <f>unicount!K44/pop!K44*1000000-unicount!$N44/pop!$N44*1000000</f>
        <v>0.62546095701948645</v>
      </c>
      <c r="L44">
        <f>unicount!L44/pop!L44*1000000-unicount!$N44/pop!$N44*1000000</f>
        <v>0.81309949040895524</v>
      </c>
      <c r="M44">
        <f>unicount!M44/pop!M44*1000000-unicount!$N44/pop!$N44*1000000</f>
        <v>-0.90420863822455311</v>
      </c>
    </row>
    <row r="45" spans="1:13" x14ac:dyDescent="0.3">
      <c r="A45">
        <v>2018</v>
      </c>
      <c r="B45">
        <f>unicount!B45/pop!B45*1000000-unicount!$N45/pop!$N45*1000000</f>
        <v>-8.9769290358402198E-2</v>
      </c>
      <c r="C45">
        <f>unicount!C45/pop!C45*1000000-unicount!$N45/pop!$N45*1000000</f>
        <v>-0.35113429450653588</v>
      </c>
      <c r="D45">
        <f>unicount!D45/pop!D45*1000000-unicount!$N45/pop!$N45*1000000</f>
        <v>2.9267677749996279E-2</v>
      </c>
      <c r="E45">
        <f>unicount!E45/pop!E45*1000000-unicount!$N45/pop!$N45*1000000</f>
        <v>-0.12224859354142836</v>
      </c>
      <c r="F45">
        <f>unicount!F45/pop!F45*1000000-unicount!$N45/pop!$N45*1000000</f>
        <v>0.21603371759824319</v>
      </c>
      <c r="G45">
        <f>unicount!G45/pop!G45*1000000-unicount!$N45/pop!$N45*1000000</f>
        <v>-0.54843440010527944</v>
      </c>
      <c r="H45">
        <f>unicount!H45/pop!H45*1000000-unicount!$N45/pop!$N45*1000000</f>
        <v>-6.6820917672450797E-2</v>
      </c>
      <c r="I45">
        <f>unicount!I45/pop!I45*1000000-unicount!$N45/pop!$N45*1000000</f>
        <v>-2.4188414288669025E-2</v>
      </c>
      <c r="J45">
        <f>unicount!J45/pop!J45*1000000-unicount!$N45/pop!$N45*1000000</f>
        <v>0.32606520894346924</v>
      </c>
      <c r="K45">
        <f>unicount!K45/pop!K45*1000000-unicount!$N45/pop!$N45*1000000</f>
        <v>0.60285310218171451</v>
      </c>
      <c r="L45">
        <f>unicount!L45/pop!L45*1000000-unicount!$N45/pop!$N45*1000000</f>
        <v>0.79049866122396728</v>
      </c>
      <c r="M45">
        <f>unicount!M45/pop!M45*1000000-unicount!$N45/pop!$N45*1000000</f>
        <v>-0.93107212421365304</v>
      </c>
    </row>
    <row r="46" spans="1:13" x14ac:dyDescent="0.3">
      <c r="A46">
        <v>2019</v>
      </c>
      <c r="B46">
        <f>unicount!B46/pop!B46*1000000-unicount!$N46/pop!$N46*1000000</f>
        <v>-9.9847027662120391E-2</v>
      </c>
      <c r="C46">
        <f>unicount!C46/pop!C46*1000000-unicount!$N46/pop!$N46*1000000</f>
        <v>-0.36646269298377532</v>
      </c>
      <c r="D46">
        <f>unicount!D46/pop!D46*1000000-unicount!$N46/pop!$N46*1000000</f>
        <v>1.6763261481208103E-2</v>
      </c>
      <c r="E46">
        <f>unicount!E46/pop!E46*1000000-unicount!$N46/pop!$N46*1000000</f>
        <v>-0.13820583232720041</v>
      </c>
      <c r="F46">
        <f>unicount!F46/pop!F46*1000000-unicount!$N46/pop!$N46*1000000</f>
        <v>0.19940953073588674</v>
      </c>
      <c r="G46">
        <f>unicount!G46/pop!G46*1000000-unicount!$N46/pop!$N46*1000000</f>
        <v>-0.5617234428142126</v>
      </c>
      <c r="H46">
        <f>unicount!H46/pop!H46*1000000-unicount!$N46/pop!$N46*1000000</f>
        <v>2.8631371766280056E-2</v>
      </c>
      <c r="I46">
        <f>unicount!I46/pop!I46*1000000-unicount!$N46/pop!$N46*1000000</f>
        <v>-3.8326527328986559E-2</v>
      </c>
      <c r="J46">
        <f>unicount!J46/pop!J46*1000000-unicount!$N46/pop!$N46*1000000</f>
        <v>0.30764999465846654</v>
      </c>
      <c r="K46">
        <f>unicount!K46/pop!K46*1000000-unicount!$N46/pop!$N46*1000000</f>
        <v>0.59475121445125834</v>
      </c>
      <c r="L46">
        <f>unicount!L46/pop!L46*1000000-unicount!$N46/pop!$N46*1000000</f>
        <v>0.77585431582980946</v>
      </c>
      <c r="M46">
        <f>unicount!M46/pop!M46*1000000-unicount!$N46/pop!$N46*1000000</f>
        <v>-0.94271080927206796</v>
      </c>
    </row>
    <row r="47" spans="1:13" x14ac:dyDescent="0.3">
      <c r="A47">
        <v>2020</v>
      </c>
      <c r="B47">
        <f>unicount!B47/pop!B47*1000000-unicount!$N47/pop!$N47*1000000</f>
        <v>-9.7024274713479297E-2</v>
      </c>
      <c r="C47">
        <f>unicount!C47/pop!C47*1000000-unicount!$N47/pop!$N47*1000000</f>
        <v>-0.36692908873691876</v>
      </c>
      <c r="D47">
        <f>unicount!D47/pop!D47*1000000-unicount!$N47/pop!$N47*1000000</f>
        <v>1.871324680903852E-2</v>
      </c>
      <c r="E47">
        <f>unicount!E47/pop!E47*1000000-unicount!$N47/pop!$N47*1000000</f>
        <v>-0.13923210891266025</v>
      </c>
      <c r="F47">
        <f>unicount!F47/pop!F47*1000000-unicount!$N47/pop!$N47*1000000</f>
        <v>0.19871972456895826</v>
      </c>
      <c r="G47">
        <f>unicount!G47/pop!G47*1000000-unicount!$N47/pop!$N47*1000000</f>
        <v>-0.56373682744437481</v>
      </c>
      <c r="H47">
        <f>unicount!H47/pop!H47*1000000-unicount!$N47/pop!$N47*1000000</f>
        <v>3.7184978970195903E-2</v>
      </c>
      <c r="I47">
        <f>unicount!I47/pop!I47*1000000-unicount!$N47/pop!$N47*1000000</f>
        <v>-4.1650291248030991E-2</v>
      </c>
      <c r="J47">
        <f>unicount!J47/pop!J47*1000000-unicount!$N47/pop!$N47*1000000</f>
        <v>0.30320047095087244</v>
      </c>
      <c r="K47">
        <f>unicount!K47/pop!K47*1000000-unicount!$N47/pop!$N47*1000000</f>
        <v>0.58409243173198133</v>
      </c>
      <c r="L47">
        <f>unicount!L47/pop!L47*1000000-unicount!$N47/pop!$N47*1000000</f>
        <v>0.78039505985065905</v>
      </c>
      <c r="M47">
        <f>unicount!M47/pop!M47*1000000-unicount!$N47/pop!$N47*1000000</f>
        <v>-0.94045741823036466</v>
      </c>
    </row>
    <row r="48" spans="1:13" x14ac:dyDescent="0.3">
      <c r="A48">
        <v>2021</v>
      </c>
      <c r="B48">
        <f>unicount!B48/pop!B48*1000000-unicount!$N48/pop!$N48*1000000</f>
        <v>-9.7147803396338661E-2</v>
      </c>
      <c r="C48">
        <f>unicount!C48/pop!C48*1000000-unicount!$N48/pop!$N48*1000000</f>
        <v>-0.36936764331065786</v>
      </c>
      <c r="D48">
        <f>unicount!D48/pop!D48*1000000-unicount!$N48/pop!$N48*1000000</f>
        <v>2.0673493990155389E-2</v>
      </c>
      <c r="E48">
        <f>unicount!E48/pop!E48*1000000-unicount!$N48/pop!$N48*1000000</f>
        <v>-0.14205362143081968</v>
      </c>
      <c r="F48">
        <f>unicount!F48/pop!F48*1000000-unicount!$N48/pop!$N48*1000000</f>
        <v>0.19686319328641089</v>
      </c>
      <c r="G48">
        <f>unicount!G48/pop!G48*1000000-unicount!$N48/pop!$N48*1000000</f>
        <v>-0.56832507133237398</v>
      </c>
      <c r="H48">
        <f>unicount!H48/pop!H48*1000000-unicount!$N48/pop!$N48*1000000</f>
        <v>5.861972561695028E-2</v>
      </c>
      <c r="I48">
        <f>unicount!I48/pop!I48*1000000-unicount!$N48/pop!$N48*1000000</f>
        <v>-4.9374608770801354E-2</v>
      </c>
      <c r="J48">
        <f>unicount!J48/pop!J48*1000000-unicount!$N48/pop!$N48*1000000</f>
        <v>0.28985596721628459</v>
      </c>
      <c r="K48">
        <f>unicount!K48/pop!K48*1000000-unicount!$N48/pop!$N48*1000000</f>
        <v>0.5902648334852465</v>
      </c>
      <c r="L48">
        <f>unicount!L48/pop!L48*1000000-unicount!$N48/pop!$N48*1000000</f>
        <v>0.78543086638341508</v>
      </c>
      <c r="M48">
        <f>unicount!M48/pop!M48*1000000-unicount!$N48/pop!$N48*1000000</f>
        <v>-0.93563766575423668</v>
      </c>
    </row>
    <row r="49" spans="1:13" x14ac:dyDescent="0.3">
      <c r="A49">
        <v>2022</v>
      </c>
      <c r="B49">
        <f>unicount!B49/pop!B49*1000000-unicount!$N49/pop!$N49*1000000</f>
        <v>-0.19185156890582444</v>
      </c>
      <c r="C49">
        <f>unicount!C49/pop!C49*1000000-unicount!$N49/pop!$N49*1000000</f>
        <v>-0.45943015611209348</v>
      </c>
      <c r="D49">
        <f>unicount!D49/pop!D49*1000000-unicount!$N49/pop!$N49*1000000</f>
        <v>-6.9883753592256959E-2</v>
      </c>
      <c r="E49">
        <f>unicount!E49/pop!E49*1000000-unicount!$N49/pop!$N49*1000000</f>
        <v>-0.2323137029550999</v>
      </c>
      <c r="F49">
        <f>unicount!F49/pop!F49*1000000-unicount!$N49/pop!$N49*1000000</f>
        <v>0.10445179084456768</v>
      </c>
      <c r="G49">
        <f>unicount!G49/pop!G49*1000000-unicount!$N49/pop!$N49*1000000</f>
        <v>-0.65014549868740756</v>
      </c>
      <c r="H49">
        <f>unicount!H49/pop!H49*1000000-unicount!$N49/pop!$N49*1000000</f>
        <v>0.31170247261601336</v>
      </c>
      <c r="I49">
        <f>unicount!I49/pop!I49*1000000-unicount!$N49/pop!$N49*1000000</f>
        <v>7.445724938915621E-2</v>
      </c>
      <c r="J49">
        <f>unicount!J49/pop!J49*1000000-unicount!$N49/pop!$N49*1000000</f>
        <v>0.3715478652868458</v>
      </c>
      <c r="K49">
        <f>unicount!K49/pop!K49*1000000-unicount!$N49/pop!$N49*1000000</f>
        <v>0.49640148729959632</v>
      </c>
      <c r="L49">
        <f>unicount!L49/pop!L49*1000000-unicount!$N49/pop!$N49*1000000</f>
        <v>0.69772544094778111</v>
      </c>
      <c r="M49">
        <f>unicount!M49/pop!M49*1000000-unicount!$N49/pop!$N49*1000000</f>
        <v>-1.0092376201447955</v>
      </c>
    </row>
    <row r="50" spans="1:13" x14ac:dyDescent="0.3">
      <c r="A50">
        <v>2023</v>
      </c>
      <c r="B50">
        <f>unicount!B50/pop!B50*1000000-unicount!$N50/pop!$N50*1000000</f>
        <v>-0.29404887182074613</v>
      </c>
      <c r="C50">
        <f>unicount!C50/pop!C50*1000000-unicount!$N50/pop!$N50*1000000</f>
        <v>-0.55920707893361699</v>
      </c>
      <c r="D50">
        <f>unicount!D50/pop!D50*1000000-unicount!$N50/pop!$N50*1000000</f>
        <v>-0.17177964583012928</v>
      </c>
      <c r="E50">
        <f>unicount!E50/pop!E50*1000000-unicount!$N50/pop!$N50*1000000</f>
        <v>-0.33497816727299234</v>
      </c>
      <c r="F50">
        <f>unicount!F50/pop!F50*1000000-unicount!$N50/pop!$N50*1000000</f>
        <v>-1.9684581436139048E-3</v>
      </c>
      <c r="G50">
        <f>unicount!G50/pop!G50*1000000-unicount!$N50/pop!$N50*1000000</f>
        <v>-0.74680564056346399</v>
      </c>
      <c r="H50">
        <f>unicount!H50/pop!H50*1000000-unicount!$N50/pop!$N50*1000000</f>
        <v>0.99200395857896861</v>
      </c>
      <c r="I50">
        <f>unicount!I50/pop!I50*1000000-unicount!$N50/pop!$N50*1000000</f>
        <v>-2.898139615881945E-2</v>
      </c>
      <c r="J50">
        <f>unicount!J50/pop!J50*1000000-unicount!$N50/pop!$N50*1000000</f>
        <v>0.27098823936139427</v>
      </c>
      <c r="K50">
        <f>unicount!K50/pop!K50*1000000-unicount!$N50/pop!$N50*1000000</f>
        <v>0.38768235684487884</v>
      </c>
      <c r="L50">
        <f>unicount!L50/pop!L50*1000000-unicount!$N50/pop!$N50*1000000</f>
        <v>0.58617249230087776</v>
      </c>
      <c r="M50">
        <f>unicount!M50/pop!M50*1000000-unicount!$N50/pop!$N50*1000000</f>
        <v>-1.0966785725237482</v>
      </c>
    </row>
    <row r="51" spans="1:13" x14ac:dyDescent="0.3">
      <c r="A51">
        <v>2024</v>
      </c>
      <c r="B51">
        <f>unicount!B51/pop!B51*1000000-unicount!$N51/pop!$N51*1000000</f>
        <v>-0.31062922040538155</v>
      </c>
      <c r="C51">
        <f>unicount!C51/pop!C51*1000000-unicount!$N51/pop!$N51*1000000</f>
        <v>-0.57087274280252376</v>
      </c>
      <c r="D51">
        <f>unicount!D51/pop!D51*1000000-unicount!$N51/pop!$N51*1000000</f>
        <v>-0.18275617970471814</v>
      </c>
      <c r="E51">
        <f>unicount!E51/pop!E51*1000000-unicount!$N51/pop!$N51*1000000</f>
        <v>-0.34423387639776526</v>
      </c>
      <c r="F51">
        <f>unicount!F51/pop!F51*1000000-unicount!$N51/pop!$N51*1000000</f>
        <v>-2.0667895797352731E-2</v>
      </c>
      <c r="G51">
        <f>unicount!G51/pop!G51*1000000-unicount!$N51/pop!$N51*1000000</f>
        <v>-0.75322905435946419</v>
      </c>
      <c r="H51">
        <f>unicount!H51/pop!H51*1000000-unicount!$N51/pop!$N51*1000000</f>
        <v>0.95861898394916034</v>
      </c>
      <c r="I51">
        <f>unicount!I51/pop!I51*1000000-unicount!$N51/pop!$N51*1000000</f>
        <v>-4.7722688160691806E-2</v>
      </c>
      <c r="J51">
        <f>unicount!J51/pop!J51*1000000-unicount!$N51/pop!$N51*1000000</f>
        <v>0.42504267459424172</v>
      </c>
      <c r="K51">
        <f>unicount!K51/pop!K51*1000000-unicount!$N51/pop!$N51*1000000</f>
        <v>0.38873426169020009</v>
      </c>
      <c r="L51">
        <f>unicount!L51/pop!L51*1000000-unicount!$N51/pop!$N51*1000000</f>
        <v>0.5824346535661542</v>
      </c>
      <c r="M51">
        <f>unicount!M51/pop!M51*1000000-unicount!$N51/pop!$N51*1000000</f>
        <v>-1.0843803052424239</v>
      </c>
    </row>
    <row r="52" spans="1:13" x14ac:dyDescent="0.3">
      <c r="A52">
        <v>2025</v>
      </c>
      <c r="B52">
        <f>unicount!B52/pop!B52*1000000-unicount!$N52/pop!$N52*1000000</f>
        <v>-0.31239353491946709</v>
      </c>
      <c r="C52">
        <f>unicount!C52/pop!C52*1000000-unicount!$N52/pop!$N52*1000000</f>
        <v>-0.56781332362664472</v>
      </c>
      <c r="D52">
        <f>unicount!D52/pop!D52*1000000-unicount!$N52/pop!$N52*1000000</f>
        <v>-0.17912496652254473</v>
      </c>
      <c r="E52">
        <f>unicount!E52/pop!E52*1000000-unicount!$N52/pop!$N52*1000000</f>
        <v>-0.33889798309912744</v>
      </c>
      <c r="F52">
        <f>unicount!F52/pop!F52*1000000-unicount!$N52/pop!$N52*1000000</f>
        <v>-2.4564266902074472E-2</v>
      </c>
      <c r="G52">
        <f>unicount!G52/pop!G52*1000000-unicount!$N52/pop!$N52*1000000</f>
        <v>-0.74505172247850249</v>
      </c>
      <c r="H52">
        <f>unicount!H52/pop!H52*1000000-unicount!$N52/pop!$N52*1000000</f>
        <v>0.94025223981573847</v>
      </c>
      <c r="I52">
        <f>unicount!I52/pop!I52*1000000-unicount!$N52/pop!$N52*1000000</f>
        <v>-5.1652156487150158E-2</v>
      </c>
      <c r="J52">
        <f>unicount!J52/pop!J52*1000000-unicount!$N52/pop!$N52*1000000</f>
        <v>0.42170314340062598</v>
      </c>
      <c r="K52">
        <f>unicount!K52/pop!K52*1000000-unicount!$N52/pop!$N52*1000000</f>
        <v>0.40410681399726833</v>
      </c>
      <c r="L52">
        <f>unicount!L52/pop!L52*1000000-unicount!$N52/pop!$N52*1000000</f>
        <v>0.59307292478514917</v>
      </c>
      <c r="M52">
        <f>unicount!M52/pop!M52*1000000-unicount!$N52/pop!$N52*1000000</f>
        <v>-1.0578382823810515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6E219-F845-4CA7-997D-0EC2B9D143E1}">
  <dimension ref="A1:M52"/>
  <sheetViews>
    <sheetView workbookViewId="0">
      <selection activeCell="R9" sqref="R9"/>
    </sheetView>
  </sheetViews>
  <sheetFormatPr defaultRowHeight="14.4" x14ac:dyDescent="0.3"/>
  <cols>
    <col min="11" max="11" width="8.6640625" customWidth="1"/>
  </cols>
  <sheetData>
    <row r="1" spans="1:13" x14ac:dyDescent="0.3">
      <c r="A1" s="1" t="s">
        <v>9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0</v>
      </c>
      <c r="H1" s="1" t="s">
        <v>1</v>
      </c>
      <c r="I1" s="1" t="s">
        <v>7</v>
      </c>
      <c r="J1" s="1" t="s">
        <v>8</v>
      </c>
      <c r="K1" s="5" t="s">
        <v>11</v>
      </c>
      <c r="L1" s="5" t="s">
        <v>12</v>
      </c>
      <c r="M1" s="5" t="s">
        <v>13</v>
      </c>
    </row>
    <row r="2" spans="1:13" x14ac:dyDescent="0.3">
      <c r="A2">
        <v>1975</v>
      </c>
      <c r="B2">
        <f>unicount!B2/8592*1000</f>
        <v>0.23277467411545624</v>
      </c>
      <c r="C2">
        <f>unicount!C2/14108*1000</f>
        <v>0.28352707683583783</v>
      </c>
      <c r="D2">
        <f>unicount!D2/15420*1000</f>
        <v>0.32425421530479898</v>
      </c>
      <c r="E2">
        <f>unicount!E2/15627*1000</f>
        <v>0.19197542714532539</v>
      </c>
      <c r="F2">
        <f>unicount!F2/12998*1000</f>
        <v>0.30773965225419297</v>
      </c>
      <c r="G2">
        <f>unicount!G2/19116*1000</f>
        <v>0.15693659761456372</v>
      </c>
      <c r="H2">
        <f>unicount!H2/1572*1000</f>
        <v>1.9083969465648853</v>
      </c>
      <c r="I2">
        <f>unicount!I2/19096*1000</f>
        <v>0.36656891495601174</v>
      </c>
      <c r="J2">
        <f>unicount!J2/23836*1000</f>
        <v>0.12586004363148179</v>
      </c>
      <c r="K2">
        <f>unicount!K2/20758</f>
        <v>4.8174197899604971E-5</v>
      </c>
      <c r="L2">
        <f>unicount!L2/78775</f>
        <v>1.0155506188511583E-4</v>
      </c>
      <c r="M2">
        <f>unicount!M2/14330</f>
        <v>1.3956734124214934E-4</v>
      </c>
    </row>
    <row r="3" spans="1:13" x14ac:dyDescent="0.3">
      <c r="A3">
        <v>1976</v>
      </c>
      <c r="B3">
        <f>unicount!B3/8592*1000</f>
        <v>0.23277467411545624</v>
      </c>
      <c r="C3">
        <f>unicount!C3/14108*1000</f>
        <v>0.28352707683583783</v>
      </c>
      <c r="D3">
        <f>unicount!D3/15420*1000</f>
        <v>0.32425421530479898</v>
      </c>
      <c r="E3">
        <f>unicount!E3/15627*1000</f>
        <v>0.19197542714532539</v>
      </c>
      <c r="F3">
        <f>unicount!F3/12998*1000</f>
        <v>0.30773965225419297</v>
      </c>
      <c r="G3">
        <f>unicount!G3/19116*1000</f>
        <v>0.15693659761456372</v>
      </c>
      <c r="H3">
        <f>unicount!H3/1572*1000</f>
        <v>1.9083969465648853</v>
      </c>
      <c r="I3">
        <f>unicount!I3/19096*1000</f>
        <v>0.36656891495601174</v>
      </c>
      <c r="J3">
        <f>unicount!J3/23836*1000</f>
        <v>0.12586004363148179</v>
      </c>
      <c r="K3">
        <f>unicount!K3/20758</f>
        <v>4.8174197899604971E-5</v>
      </c>
      <c r="L3">
        <f>unicount!L3/78775</f>
        <v>1.0155506188511583E-4</v>
      </c>
      <c r="M3">
        <f>unicount!M3/14330</f>
        <v>1.3956734124214934E-4</v>
      </c>
    </row>
    <row r="4" spans="1:13" x14ac:dyDescent="0.3">
      <c r="A4">
        <v>1977</v>
      </c>
      <c r="B4">
        <f>unicount!B4/8592*1000</f>
        <v>0.23277467411545624</v>
      </c>
      <c r="C4">
        <f>unicount!C4/14108*1000</f>
        <v>0.28352707683583783</v>
      </c>
      <c r="D4">
        <f>unicount!D4/15420*1000</f>
        <v>0.32425421530479898</v>
      </c>
      <c r="E4">
        <f>unicount!E4/15627*1000</f>
        <v>0.19197542714532539</v>
      </c>
      <c r="F4">
        <f>unicount!F4/12998*1000</f>
        <v>0.30773965225419297</v>
      </c>
      <c r="G4">
        <f>unicount!G4/19116*1000</f>
        <v>0.15693659761456372</v>
      </c>
      <c r="H4">
        <f>unicount!H4/1572*1000</f>
        <v>1.9083969465648853</v>
      </c>
      <c r="I4">
        <f>unicount!I4/19096*1000</f>
        <v>0.36656891495601174</v>
      </c>
      <c r="J4">
        <f>unicount!J4/23836*1000</f>
        <v>0.12586004363148179</v>
      </c>
      <c r="K4">
        <f>unicount!K4/20758</f>
        <v>4.8174197899604971E-5</v>
      </c>
      <c r="L4">
        <f>unicount!L4/78775</f>
        <v>1.0155506188511583E-4</v>
      </c>
      <c r="M4">
        <f>unicount!M4/14330</f>
        <v>1.3956734124214934E-4</v>
      </c>
    </row>
    <row r="5" spans="1:13" x14ac:dyDescent="0.3">
      <c r="A5">
        <v>1978</v>
      </c>
      <c r="B5">
        <f>unicount!B5/8592*1000</f>
        <v>0.23277467411545624</v>
      </c>
      <c r="C5">
        <f>unicount!C5/14108*1000</f>
        <v>0.28352707683583783</v>
      </c>
      <c r="D5">
        <f>unicount!D5/15420*1000</f>
        <v>0.32425421530479898</v>
      </c>
      <c r="E5">
        <f>unicount!E5/15627*1000</f>
        <v>0.19197542714532539</v>
      </c>
      <c r="F5">
        <f>unicount!F5/12998*1000</f>
        <v>0.30773965225419297</v>
      </c>
      <c r="G5">
        <f>unicount!G5/19116*1000</f>
        <v>0.15693659761456372</v>
      </c>
      <c r="H5">
        <f>unicount!H5/1572*1000</f>
        <v>1.9083969465648853</v>
      </c>
      <c r="I5">
        <f>unicount!I5/19096*1000</f>
        <v>0.36656891495601174</v>
      </c>
      <c r="J5">
        <f>unicount!J5/23836*1000</f>
        <v>0.12586004363148179</v>
      </c>
      <c r="K5">
        <f>unicount!K5/20758</f>
        <v>4.8174197899604971E-5</v>
      </c>
      <c r="L5">
        <f>unicount!L5/78775</f>
        <v>1.0155506188511583E-4</v>
      </c>
      <c r="M5">
        <f>unicount!M5/14330</f>
        <v>1.3956734124214934E-4</v>
      </c>
    </row>
    <row r="6" spans="1:13" x14ac:dyDescent="0.3">
      <c r="A6">
        <v>1979</v>
      </c>
      <c r="B6">
        <f>unicount!B6/8592*1000</f>
        <v>0.23277467411545624</v>
      </c>
      <c r="C6">
        <f>unicount!C6/14108*1000</f>
        <v>0.28352707683583783</v>
      </c>
      <c r="D6">
        <f>unicount!D6/15420*1000</f>
        <v>0.32425421530479898</v>
      </c>
      <c r="E6">
        <f>unicount!E6/15627*1000</f>
        <v>0.19197542714532539</v>
      </c>
      <c r="F6">
        <f>unicount!F6/12998*1000</f>
        <v>0.30773965225419297</v>
      </c>
      <c r="G6">
        <f>unicount!G6/19116*1000</f>
        <v>0.15693659761456372</v>
      </c>
      <c r="H6">
        <f>unicount!H6/1572*1000</f>
        <v>1.9083969465648853</v>
      </c>
      <c r="I6">
        <f>unicount!I6/19096*1000</f>
        <v>0.36656891495601174</v>
      </c>
      <c r="J6">
        <f>unicount!J6/23836*1000</f>
        <v>0.12586004363148179</v>
      </c>
      <c r="K6">
        <f>unicount!K6/20758</f>
        <v>4.8174197899604971E-5</v>
      </c>
      <c r="L6">
        <f>unicount!L6/78775</f>
        <v>1.0155506188511583E-4</v>
      </c>
      <c r="M6">
        <f>unicount!M6/14330</f>
        <v>1.3956734124214934E-4</v>
      </c>
    </row>
    <row r="7" spans="1:13" x14ac:dyDescent="0.3">
      <c r="A7">
        <v>1980</v>
      </c>
      <c r="B7">
        <f>unicount!B7/8592*1000</f>
        <v>0.23277467411545624</v>
      </c>
      <c r="C7">
        <f>unicount!C7/14108*1000</f>
        <v>0.28352707683583783</v>
      </c>
      <c r="D7">
        <f>unicount!D7/15420*1000</f>
        <v>0.32425421530479898</v>
      </c>
      <c r="E7">
        <f>unicount!E7/15627*1000</f>
        <v>0.19197542714532539</v>
      </c>
      <c r="F7">
        <f>unicount!F7/12998*1000</f>
        <v>0.30773965225419297</v>
      </c>
      <c r="G7">
        <f>unicount!G7/19116*1000</f>
        <v>0.15693659761456372</v>
      </c>
      <c r="H7">
        <f>unicount!H7/1572*1000</f>
        <v>1.9083969465648853</v>
      </c>
      <c r="I7">
        <f>unicount!I7/19096*1000</f>
        <v>0.36656891495601174</v>
      </c>
      <c r="J7">
        <f>unicount!J7/23836*1000</f>
        <v>0.12586004363148179</v>
      </c>
      <c r="K7">
        <f>unicount!K7/20758</f>
        <v>4.8174197899604971E-5</v>
      </c>
      <c r="L7">
        <f>unicount!L7/78775</f>
        <v>1.0155506188511583E-4</v>
      </c>
      <c r="M7">
        <f>unicount!M7/14330</f>
        <v>1.3956734124214934E-4</v>
      </c>
    </row>
    <row r="8" spans="1:13" x14ac:dyDescent="0.3">
      <c r="A8">
        <v>1981</v>
      </c>
      <c r="B8">
        <f>unicount!B8/8592*1000</f>
        <v>0.23277467411545624</v>
      </c>
      <c r="C8">
        <f>unicount!C8/14108*1000</f>
        <v>0.28352707683583783</v>
      </c>
      <c r="D8">
        <f>unicount!D8/15420*1000</f>
        <v>0.32425421530479898</v>
      </c>
      <c r="E8">
        <f>unicount!E8/15627*1000</f>
        <v>0.19197542714532539</v>
      </c>
      <c r="F8">
        <f>unicount!F8/12998*1000</f>
        <v>0.30773965225419297</v>
      </c>
      <c r="G8">
        <f>unicount!G8/19116*1000</f>
        <v>0.15693659761456372</v>
      </c>
      <c r="H8">
        <f>unicount!H8/1572*1000</f>
        <v>1.9083969465648853</v>
      </c>
      <c r="I8">
        <f>unicount!I8/19096*1000</f>
        <v>0.36656891495601174</v>
      </c>
      <c r="J8">
        <f>unicount!J8/23836*1000</f>
        <v>0.12586004363148179</v>
      </c>
      <c r="K8">
        <f>unicount!K8/20758</f>
        <v>4.8174197899604971E-5</v>
      </c>
      <c r="L8">
        <f>unicount!L8/78775</f>
        <v>1.0155506188511583E-4</v>
      </c>
      <c r="M8">
        <f>unicount!M8/14330</f>
        <v>1.3956734124214934E-4</v>
      </c>
    </row>
    <row r="9" spans="1:13" x14ac:dyDescent="0.3">
      <c r="A9">
        <v>1982</v>
      </c>
      <c r="B9">
        <f>unicount!B9/8592*1000</f>
        <v>0.23277467411545624</v>
      </c>
      <c r="C9">
        <f>unicount!C9/14108*1000</f>
        <v>0.28352707683583783</v>
      </c>
      <c r="D9">
        <f>unicount!D9/15420*1000</f>
        <v>0.32425421530479898</v>
      </c>
      <c r="E9">
        <f>unicount!E9/15627*1000</f>
        <v>0.19197542714532539</v>
      </c>
      <c r="F9">
        <f>unicount!F9/12998*1000</f>
        <v>0.30773965225419297</v>
      </c>
      <c r="G9">
        <f>unicount!G9/19116*1000</f>
        <v>0.15693659761456372</v>
      </c>
      <c r="H9">
        <f>unicount!H9/1572*1000</f>
        <v>1.9083969465648853</v>
      </c>
      <c r="I9">
        <f>unicount!I9/19096*1000</f>
        <v>0.36656891495601174</v>
      </c>
      <c r="J9">
        <f>unicount!J9/23836*1000</f>
        <v>0.12586004363148179</v>
      </c>
      <c r="K9">
        <f>unicount!K9/20758</f>
        <v>4.8174197899604971E-5</v>
      </c>
      <c r="L9">
        <f>unicount!L9/78775</f>
        <v>1.0155506188511583E-4</v>
      </c>
      <c r="M9">
        <f>unicount!M9/14330</f>
        <v>1.3956734124214934E-4</v>
      </c>
    </row>
    <row r="10" spans="1:13" x14ac:dyDescent="0.3">
      <c r="A10">
        <v>1983</v>
      </c>
      <c r="B10">
        <f>unicount!B10/8592*1000</f>
        <v>0.23277467411545624</v>
      </c>
      <c r="C10">
        <f>unicount!C10/14108*1000</f>
        <v>0.28352707683583783</v>
      </c>
      <c r="D10">
        <f>unicount!D10/15420*1000</f>
        <v>0.32425421530479898</v>
      </c>
      <c r="E10">
        <f>unicount!E10/15627*1000</f>
        <v>0.19197542714532539</v>
      </c>
      <c r="F10">
        <f>unicount!F10/12998*1000</f>
        <v>0.30773965225419297</v>
      </c>
      <c r="G10">
        <f>unicount!G10/19116*1000</f>
        <v>0.15693659761456372</v>
      </c>
      <c r="H10">
        <f>unicount!H10/1572*1000</f>
        <v>1.9083969465648853</v>
      </c>
      <c r="I10">
        <f>unicount!I10/19096*1000</f>
        <v>0.41893590280687054</v>
      </c>
      <c r="J10">
        <f>unicount!J10/23836*1000</f>
        <v>0.12586004363148179</v>
      </c>
      <c r="K10">
        <f>unicount!K10/20758</f>
        <v>4.8174197899604971E-5</v>
      </c>
      <c r="L10">
        <f>unicount!L10/78775</f>
        <v>1.0155506188511583E-4</v>
      </c>
      <c r="M10">
        <f>unicount!M10/14330</f>
        <v>1.3956734124214934E-4</v>
      </c>
    </row>
    <row r="11" spans="1:13" x14ac:dyDescent="0.3">
      <c r="A11">
        <v>1984</v>
      </c>
      <c r="B11">
        <f>unicount!B11/8592*1000</f>
        <v>0.23277467411545624</v>
      </c>
      <c r="C11">
        <f>unicount!C11/14108*1000</f>
        <v>0.28352707683583783</v>
      </c>
      <c r="D11">
        <f>unicount!D11/15420*1000</f>
        <v>0.32425421530479898</v>
      </c>
      <c r="E11">
        <f>unicount!E11/15627*1000</f>
        <v>0.19197542714532539</v>
      </c>
      <c r="F11">
        <f>unicount!F11/12998*1000</f>
        <v>0.30773965225419297</v>
      </c>
      <c r="G11">
        <f>unicount!G11/19116*1000</f>
        <v>0.15693659761456372</v>
      </c>
      <c r="H11">
        <f>unicount!H11/1572*1000</f>
        <v>1.9083969465648853</v>
      </c>
      <c r="I11">
        <f>unicount!I11/19096*1000</f>
        <v>0.41893590280687054</v>
      </c>
      <c r="J11">
        <f>unicount!J11/23836*1000</f>
        <v>0.12586004363148179</v>
      </c>
      <c r="K11">
        <f>unicount!K11/20758</f>
        <v>4.8174197899604971E-5</v>
      </c>
      <c r="L11">
        <f>unicount!L11/78775</f>
        <v>1.0155506188511583E-4</v>
      </c>
      <c r="M11">
        <f>unicount!M11/14330</f>
        <v>1.3956734124214934E-4</v>
      </c>
    </row>
    <row r="12" spans="1:13" x14ac:dyDescent="0.3">
      <c r="A12">
        <v>1985</v>
      </c>
      <c r="B12">
        <f>unicount!B12/8592*1000</f>
        <v>0.23277467411545624</v>
      </c>
      <c r="C12">
        <f>unicount!C12/14108*1000</f>
        <v>0.28352707683583783</v>
      </c>
      <c r="D12">
        <f>unicount!D12/15420*1000</f>
        <v>0.32425421530479898</v>
      </c>
      <c r="E12">
        <f>unicount!E12/15627*1000</f>
        <v>0.19197542714532539</v>
      </c>
      <c r="F12">
        <f>unicount!F12/12998*1000</f>
        <v>0.30773965225419297</v>
      </c>
      <c r="G12">
        <f>unicount!G12/19116*1000</f>
        <v>0.15693659761456372</v>
      </c>
      <c r="H12">
        <f>unicount!H12/1572*1000</f>
        <v>1.9083969465648853</v>
      </c>
      <c r="I12">
        <f>unicount!I12/19096*1000</f>
        <v>0.41893590280687054</v>
      </c>
      <c r="J12">
        <f>unicount!J12/23836*1000</f>
        <v>0.12586004363148179</v>
      </c>
      <c r="K12">
        <f>unicount!K12/20758</f>
        <v>4.8174197899604971E-5</v>
      </c>
      <c r="L12">
        <f>unicount!L12/78775</f>
        <v>1.0155506188511583E-4</v>
      </c>
      <c r="M12">
        <f>unicount!M12/14330</f>
        <v>1.3956734124214934E-4</v>
      </c>
    </row>
    <row r="13" spans="1:13" x14ac:dyDescent="0.3">
      <c r="A13">
        <v>1986</v>
      </c>
      <c r="B13">
        <f>unicount!B13/8592*1000</f>
        <v>0.23277467411545624</v>
      </c>
      <c r="C13">
        <f>unicount!C13/14108*1000</f>
        <v>0.28352707683583783</v>
      </c>
      <c r="D13">
        <f>unicount!D13/15420*1000</f>
        <v>0.32425421530479898</v>
      </c>
      <c r="E13">
        <f>unicount!E13/15627*1000</f>
        <v>0.19197542714532539</v>
      </c>
      <c r="F13">
        <f>unicount!F13/12998*1000</f>
        <v>0.30773965225419297</v>
      </c>
      <c r="G13">
        <f>unicount!G13/19116*1000</f>
        <v>0.15693659761456372</v>
      </c>
      <c r="H13">
        <f>unicount!H13/1572*1000</f>
        <v>1.9083969465648853</v>
      </c>
      <c r="I13">
        <f>unicount!I13/19096*1000</f>
        <v>0.41893590280687054</v>
      </c>
      <c r="J13">
        <f>unicount!J13/23836*1000</f>
        <v>0.12586004363148179</v>
      </c>
      <c r="K13">
        <f>unicount!K13/20758</f>
        <v>4.8174197899604971E-5</v>
      </c>
      <c r="L13">
        <f>unicount!L13/78775</f>
        <v>1.0155506188511583E-4</v>
      </c>
      <c r="M13">
        <f>unicount!M13/14330</f>
        <v>1.3956734124214934E-4</v>
      </c>
    </row>
    <row r="14" spans="1:13" x14ac:dyDescent="0.3">
      <c r="A14">
        <v>1987</v>
      </c>
      <c r="B14">
        <f>unicount!B14/8592*1000</f>
        <v>0.23277467411545624</v>
      </c>
      <c r="C14">
        <f>unicount!C14/14108*1000</f>
        <v>0.28352707683583783</v>
      </c>
      <c r="D14">
        <f>unicount!D14/15420*1000</f>
        <v>0.32425421530479898</v>
      </c>
      <c r="E14">
        <f>unicount!E14/15627*1000</f>
        <v>0.19197542714532539</v>
      </c>
      <c r="F14">
        <f>unicount!F14/12998*1000</f>
        <v>0.30773965225419297</v>
      </c>
      <c r="G14">
        <f>unicount!G14/19116*1000</f>
        <v>0.15693659761456372</v>
      </c>
      <c r="H14">
        <f>unicount!H14/1572*1000</f>
        <v>1.9083969465648853</v>
      </c>
      <c r="I14">
        <f>unicount!I14/19096*1000</f>
        <v>0.41893590280687054</v>
      </c>
      <c r="J14">
        <f>unicount!J14/23836*1000</f>
        <v>0.12586004363148179</v>
      </c>
      <c r="K14">
        <f>unicount!K14/20758</f>
        <v>4.8174197899604971E-5</v>
      </c>
      <c r="L14">
        <f>unicount!L14/78775</f>
        <v>1.0155506188511583E-4</v>
      </c>
      <c r="M14">
        <f>unicount!M14/14330</f>
        <v>1.3956734124214934E-4</v>
      </c>
    </row>
    <row r="15" spans="1:13" x14ac:dyDescent="0.3">
      <c r="A15">
        <v>1988</v>
      </c>
      <c r="B15">
        <f>unicount!B15/8592*1000</f>
        <v>0.23277467411545624</v>
      </c>
      <c r="C15">
        <f>unicount!C15/14108*1000</f>
        <v>0.28352707683583783</v>
      </c>
      <c r="D15">
        <f>unicount!D15/15420*1000</f>
        <v>0.32425421530479898</v>
      </c>
      <c r="E15">
        <f>unicount!E15/15627*1000</f>
        <v>0.19197542714532539</v>
      </c>
      <c r="F15">
        <f>unicount!F15/12998*1000</f>
        <v>0.30773965225419297</v>
      </c>
      <c r="G15">
        <f>unicount!G15/19116*1000</f>
        <v>0.15693659761456372</v>
      </c>
      <c r="H15">
        <f>unicount!H15/1572*1000</f>
        <v>1.9083969465648853</v>
      </c>
      <c r="I15">
        <f>unicount!I15/19096*1000</f>
        <v>0.41893590280687054</v>
      </c>
      <c r="J15">
        <f>unicount!J15/23836*1000</f>
        <v>0.12586004363148179</v>
      </c>
      <c r="K15">
        <f>unicount!K15/20758</f>
        <v>4.8174197899604971E-5</v>
      </c>
      <c r="L15">
        <f>unicount!L15/78775</f>
        <v>1.0155506188511583E-4</v>
      </c>
      <c r="M15">
        <f>unicount!M15/14330</f>
        <v>1.3956734124214934E-4</v>
      </c>
    </row>
    <row r="16" spans="1:13" x14ac:dyDescent="0.3">
      <c r="A16">
        <v>1989</v>
      </c>
      <c r="B16">
        <f>unicount!B16/8592*1000</f>
        <v>0.23277467411545624</v>
      </c>
      <c r="C16">
        <f>unicount!C16/14108*1000</f>
        <v>0.28352707683583783</v>
      </c>
      <c r="D16">
        <f>unicount!D16/15420*1000</f>
        <v>0.32425421530479898</v>
      </c>
      <c r="E16">
        <f>unicount!E16/15627*1000</f>
        <v>0.19197542714532539</v>
      </c>
      <c r="F16">
        <f>unicount!F16/12998*1000</f>
        <v>0.30773965225419297</v>
      </c>
      <c r="G16">
        <f>unicount!G16/19116*1000</f>
        <v>0.15693659761456372</v>
      </c>
      <c r="H16">
        <f>unicount!H16/1572*1000</f>
        <v>1.9083969465648853</v>
      </c>
      <c r="I16">
        <f>unicount!I16/19096*1000</f>
        <v>0.41893590280687054</v>
      </c>
      <c r="J16">
        <f>unicount!J16/23836*1000</f>
        <v>0.12586004363148179</v>
      </c>
      <c r="K16">
        <f>unicount!K16/20758</f>
        <v>4.8174197899604971E-5</v>
      </c>
      <c r="L16">
        <f>unicount!L16/78775</f>
        <v>1.0155506188511583E-4</v>
      </c>
      <c r="M16">
        <f>unicount!M16/14330</f>
        <v>1.3956734124214934E-4</v>
      </c>
    </row>
    <row r="17" spans="1:13" x14ac:dyDescent="0.3">
      <c r="A17">
        <v>1990</v>
      </c>
      <c r="B17">
        <f>unicount!B17/8592*1000</f>
        <v>0.23277467411545624</v>
      </c>
      <c r="C17">
        <f>unicount!C17/14108*1000</f>
        <v>0.28352707683583783</v>
      </c>
      <c r="D17">
        <f>unicount!D17/15420*1000</f>
        <v>0.32425421530479898</v>
      </c>
      <c r="E17">
        <f>unicount!E17/15627*1000</f>
        <v>0.19197542714532539</v>
      </c>
      <c r="F17">
        <f>unicount!F17/12998*1000</f>
        <v>0.30773965225419297</v>
      </c>
      <c r="G17">
        <f>unicount!G17/19116*1000</f>
        <v>0.15693659761456372</v>
      </c>
      <c r="H17">
        <f>unicount!H17/1572*1000</f>
        <v>1.9083969465648853</v>
      </c>
      <c r="I17">
        <f>unicount!I17/19096*1000</f>
        <v>0.41893590280687054</v>
      </c>
      <c r="J17">
        <f>unicount!J17/23836*1000</f>
        <v>0.12586004363148179</v>
      </c>
      <c r="K17">
        <f>unicount!K17/20758</f>
        <v>4.8174197899604971E-5</v>
      </c>
      <c r="L17">
        <f>unicount!L17/78775</f>
        <v>1.0155506188511583E-4</v>
      </c>
      <c r="M17">
        <f>unicount!M17/14330</f>
        <v>1.3956734124214934E-4</v>
      </c>
    </row>
    <row r="18" spans="1:13" x14ac:dyDescent="0.3">
      <c r="A18">
        <v>1991</v>
      </c>
      <c r="B18">
        <f>unicount!B18/8592*1000</f>
        <v>0.23277467411545624</v>
      </c>
      <c r="C18">
        <f>unicount!C18/14108*1000</f>
        <v>0.28352707683583783</v>
      </c>
      <c r="D18">
        <f>unicount!D18/15420*1000</f>
        <v>0.32425421530479898</v>
      </c>
      <c r="E18">
        <f>unicount!E18/15627*1000</f>
        <v>0.19197542714532539</v>
      </c>
      <c r="F18">
        <f>unicount!F18/12998*1000</f>
        <v>0.30773965225419297</v>
      </c>
      <c r="G18">
        <f>unicount!G18/19116*1000</f>
        <v>0.15693659761456372</v>
      </c>
      <c r="H18">
        <f>unicount!H18/1572*1000</f>
        <v>1.9083969465648853</v>
      </c>
      <c r="I18">
        <f>unicount!I18/19096*1000</f>
        <v>0.41893590280687054</v>
      </c>
      <c r="J18">
        <f>unicount!J18/23836*1000</f>
        <v>0.12586004363148179</v>
      </c>
      <c r="K18">
        <f>unicount!K18/20758</f>
        <v>4.8174197899604971E-5</v>
      </c>
      <c r="L18">
        <f>unicount!L18/78775</f>
        <v>1.0155506188511583E-4</v>
      </c>
      <c r="M18">
        <f>unicount!M18/14330</f>
        <v>1.3956734124214934E-4</v>
      </c>
    </row>
    <row r="19" spans="1:13" x14ac:dyDescent="0.3">
      <c r="A19">
        <v>1992</v>
      </c>
      <c r="B19">
        <f>unicount!B19/8592*1000</f>
        <v>0.58193668528864062</v>
      </c>
      <c r="C19">
        <f>unicount!C19/14108*1000</f>
        <v>0.49617238446271622</v>
      </c>
      <c r="D19">
        <f>unicount!D19/15420*1000</f>
        <v>0.58365758754863817</v>
      </c>
      <c r="E19">
        <f>unicount!E19/15627*1000</f>
        <v>0.38395085429065079</v>
      </c>
      <c r="F19">
        <f>unicount!F19/12998*1000</f>
        <v>0.61547930450838595</v>
      </c>
      <c r="G19">
        <f>unicount!G19/19116*1000</f>
        <v>0.26156099602427285</v>
      </c>
      <c r="H19">
        <f>unicount!H19/1572*1000</f>
        <v>6.997455470737914</v>
      </c>
      <c r="I19">
        <f>unicount!I19/19096*1000</f>
        <v>0.57603686635944695</v>
      </c>
      <c r="J19">
        <f>unicount!J19/23836*1000</f>
        <v>0.25172008726296358</v>
      </c>
      <c r="K19">
        <f>unicount!K19/20758</f>
        <v>9.6348395799209942E-5</v>
      </c>
      <c r="L19">
        <f>unicount!L19/78775</f>
        <v>1.3963821009203427E-4</v>
      </c>
      <c r="M19">
        <f>unicount!M19/14330</f>
        <v>1.3956734124214934E-4</v>
      </c>
    </row>
    <row r="20" spans="1:13" x14ac:dyDescent="0.3">
      <c r="A20">
        <v>1993</v>
      </c>
      <c r="B20">
        <f>unicount!B20/8592*1000</f>
        <v>0.58193668528864062</v>
      </c>
      <c r="C20">
        <f>unicount!C20/14108*1000</f>
        <v>0.49617238446271622</v>
      </c>
      <c r="D20">
        <f>unicount!D20/15420*1000</f>
        <v>0.58365758754863817</v>
      </c>
      <c r="E20">
        <f>unicount!E20/15627*1000</f>
        <v>0.38395085429065079</v>
      </c>
      <c r="F20">
        <f>unicount!F20/12998*1000</f>
        <v>0.61547930450838595</v>
      </c>
      <c r="G20">
        <f>unicount!G20/19116*1000</f>
        <v>0.31387319522912743</v>
      </c>
      <c r="H20">
        <f>unicount!H20/1572*1000</f>
        <v>7.6335877862595414</v>
      </c>
      <c r="I20">
        <f>unicount!I20/19096*1000</f>
        <v>0.57603686635944695</v>
      </c>
      <c r="J20">
        <f>unicount!J20/23836*1000</f>
        <v>0.25172008726296358</v>
      </c>
      <c r="K20">
        <f>unicount!K20/20758</f>
        <v>9.6348395799209942E-5</v>
      </c>
      <c r="L20">
        <f>unicount!L20/78775</f>
        <v>1.5233259282767376E-4</v>
      </c>
      <c r="M20">
        <f>unicount!M20/14330</f>
        <v>1.3956734124214934E-4</v>
      </c>
    </row>
    <row r="21" spans="1:13" x14ac:dyDescent="0.3">
      <c r="A21">
        <v>1994</v>
      </c>
      <c r="B21">
        <f>unicount!B21/8592*1000</f>
        <v>0.58193668528864062</v>
      </c>
      <c r="C21">
        <f>unicount!C21/14108*1000</f>
        <v>0.56705415367167566</v>
      </c>
      <c r="D21">
        <f>unicount!D21/15420*1000</f>
        <v>0.58365758754863817</v>
      </c>
      <c r="E21">
        <f>unicount!E21/15627*1000</f>
        <v>0.38395085429065079</v>
      </c>
      <c r="F21">
        <f>unicount!F21/12998*1000</f>
        <v>0.61547930450838595</v>
      </c>
      <c r="G21">
        <f>unicount!G21/19116*1000</f>
        <v>0.31387319522912743</v>
      </c>
      <c r="H21">
        <f>unicount!H21/1572*1000</f>
        <v>7.6335877862595414</v>
      </c>
      <c r="I21">
        <f>unicount!I21/19096*1000</f>
        <v>0.57603686635944695</v>
      </c>
      <c r="J21">
        <f>unicount!J21/23836*1000</f>
        <v>0.25172008726296358</v>
      </c>
      <c r="K21">
        <f>unicount!K21/20758</f>
        <v>9.6348395799209942E-5</v>
      </c>
      <c r="L21">
        <f>unicount!L21/78775</f>
        <v>1.6502697556331324E-4</v>
      </c>
      <c r="M21">
        <f>unicount!M21/14330</f>
        <v>1.3956734124214934E-4</v>
      </c>
    </row>
    <row r="22" spans="1:13" x14ac:dyDescent="0.3">
      <c r="A22">
        <v>1995</v>
      </c>
      <c r="B22">
        <f>unicount!B22/8592*1000</f>
        <v>0.58193668528864062</v>
      </c>
      <c r="C22">
        <f>unicount!C22/14108*1000</f>
        <v>0.56705415367167566</v>
      </c>
      <c r="D22">
        <f>unicount!D22/15420*1000</f>
        <v>0.58365758754863817</v>
      </c>
      <c r="E22">
        <f>unicount!E22/15627*1000</f>
        <v>0.38395085429065079</v>
      </c>
      <c r="F22">
        <f>unicount!F22/12998*1000</f>
        <v>0.61547930450838595</v>
      </c>
      <c r="G22">
        <f>unicount!G22/19116*1000</f>
        <v>0.31387319522912743</v>
      </c>
      <c r="H22">
        <f>unicount!H22/1572*1000</f>
        <v>7.6335877862595414</v>
      </c>
      <c r="I22">
        <f>unicount!I22/19096*1000</f>
        <v>0.57603686635944695</v>
      </c>
      <c r="J22">
        <f>unicount!J22/23836*1000</f>
        <v>0.25172008726296358</v>
      </c>
      <c r="K22">
        <f>unicount!K22/20758</f>
        <v>9.6348395799209942E-5</v>
      </c>
      <c r="L22">
        <f>unicount!L22/78775</f>
        <v>1.6502697556331324E-4</v>
      </c>
      <c r="M22">
        <f>unicount!M22/14330</f>
        <v>1.3956734124214934E-4</v>
      </c>
    </row>
    <row r="23" spans="1:13" x14ac:dyDescent="0.3">
      <c r="A23">
        <v>1996</v>
      </c>
      <c r="B23">
        <f>unicount!B23/8592*1000</f>
        <v>0.58193668528864062</v>
      </c>
      <c r="C23">
        <f>unicount!C23/14108*1000</f>
        <v>0.56705415367167566</v>
      </c>
      <c r="D23">
        <f>unicount!D23/15420*1000</f>
        <v>0.58365758754863817</v>
      </c>
      <c r="E23">
        <f>unicount!E23/15627*1000</f>
        <v>0.38395085429065079</v>
      </c>
      <c r="F23">
        <f>unicount!F23/12998*1000</f>
        <v>0.61547930450838595</v>
      </c>
      <c r="G23">
        <f>unicount!G23/19116*1000</f>
        <v>0.31387319522912743</v>
      </c>
      <c r="H23">
        <f>unicount!H23/1572*1000</f>
        <v>7.6335877862595414</v>
      </c>
      <c r="I23">
        <f>unicount!I23/19096*1000</f>
        <v>0.57603686635944695</v>
      </c>
      <c r="J23">
        <f>unicount!J23/23836*1000</f>
        <v>0.25172008726296358</v>
      </c>
      <c r="K23">
        <f>unicount!K23/20758</f>
        <v>9.6348395799209942E-5</v>
      </c>
      <c r="L23">
        <f>unicount!L23/78775</f>
        <v>1.6502697556331324E-4</v>
      </c>
      <c r="M23">
        <f>unicount!M23/14330</f>
        <v>1.3956734124214934E-4</v>
      </c>
    </row>
    <row r="24" spans="1:13" x14ac:dyDescent="0.3">
      <c r="A24">
        <v>1997</v>
      </c>
      <c r="B24">
        <f>unicount!B24/8592*1000</f>
        <v>0.58193668528864062</v>
      </c>
      <c r="C24">
        <f>unicount!C24/14108*1000</f>
        <v>0.56705415367167566</v>
      </c>
      <c r="D24">
        <f>unicount!D24/15420*1000</f>
        <v>0.58365758754863817</v>
      </c>
      <c r="E24">
        <f>unicount!E24/15627*1000</f>
        <v>0.38395085429065079</v>
      </c>
      <c r="F24">
        <f>unicount!F24/12998*1000</f>
        <v>0.61547930450838595</v>
      </c>
      <c r="G24">
        <f>unicount!G24/19116*1000</f>
        <v>0.31387319522912743</v>
      </c>
      <c r="H24">
        <f>unicount!H24/1572*1000</f>
        <v>7.6335877862595414</v>
      </c>
      <c r="I24">
        <f>unicount!I24/19096*1000</f>
        <v>0.57603686635944695</v>
      </c>
      <c r="J24">
        <f>unicount!J24/23836*1000</f>
        <v>0.25172008726296358</v>
      </c>
      <c r="K24">
        <f>unicount!K24/20758</f>
        <v>9.6348395799209942E-5</v>
      </c>
      <c r="L24">
        <f>unicount!L24/78775</f>
        <v>1.6502697556331324E-4</v>
      </c>
      <c r="M24">
        <f>unicount!M24/14330</f>
        <v>1.3956734124214934E-4</v>
      </c>
    </row>
    <row r="25" spans="1:13" x14ac:dyDescent="0.3">
      <c r="A25">
        <v>1998</v>
      </c>
      <c r="B25">
        <f>unicount!B25/8592*1000</f>
        <v>0.58193668528864062</v>
      </c>
      <c r="C25">
        <f>unicount!C25/14108*1000</f>
        <v>0.56705415367167566</v>
      </c>
      <c r="D25">
        <f>unicount!D25/15420*1000</f>
        <v>0.58365758754863817</v>
      </c>
      <c r="E25">
        <f>unicount!E25/15627*1000</f>
        <v>0.38395085429065079</v>
      </c>
      <c r="F25">
        <f>unicount!F25/12998*1000</f>
        <v>0.61547930450838595</v>
      </c>
      <c r="G25">
        <f>unicount!G25/19116*1000</f>
        <v>0.31387319522912743</v>
      </c>
      <c r="H25">
        <f>unicount!H25/1572*1000</f>
        <v>7.6335877862595414</v>
      </c>
      <c r="I25">
        <f>unicount!I25/19096*1000</f>
        <v>0.57603686635944695</v>
      </c>
      <c r="J25">
        <f>unicount!J25/23836*1000</f>
        <v>0.25172008726296358</v>
      </c>
      <c r="K25">
        <f>unicount!K25/20758</f>
        <v>9.6348395799209942E-5</v>
      </c>
      <c r="L25">
        <f>unicount!L25/78775</f>
        <v>1.6502697556331324E-4</v>
      </c>
      <c r="M25">
        <f>unicount!M25/14330</f>
        <v>1.3956734124214934E-4</v>
      </c>
    </row>
    <row r="26" spans="1:13" x14ac:dyDescent="0.3">
      <c r="A26">
        <v>1999</v>
      </c>
      <c r="B26">
        <f>unicount!B26/8592*1000</f>
        <v>0.58193668528864062</v>
      </c>
      <c r="C26">
        <f>unicount!C26/14108*1000</f>
        <v>0.56705415367167566</v>
      </c>
      <c r="D26">
        <f>unicount!D26/15420*1000</f>
        <v>0.58365758754863817</v>
      </c>
      <c r="E26">
        <f>unicount!E26/15627*1000</f>
        <v>0.38395085429065079</v>
      </c>
      <c r="F26">
        <f>unicount!F26/12998*1000</f>
        <v>0.61547930450838595</v>
      </c>
      <c r="G26">
        <f>unicount!G26/19116*1000</f>
        <v>0.31387319522912743</v>
      </c>
      <c r="H26">
        <f>unicount!H26/1572*1000</f>
        <v>7.6335877862595414</v>
      </c>
      <c r="I26">
        <f>unicount!I26/19096*1000</f>
        <v>0.57603686635944695</v>
      </c>
      <c r="J26">
        <f>unicount!J26/23836*1000</f>
        <v>0.25172008726296358</v>
      </c>
      <c r="K26">
        <f>unicount!K26/20758</f>
        <v>9.6348395799209942E-5</v>
      </c>
      <c r="L26">
        <f>unicount!L26/78775</f>
        <v>1.6502697556331324E-4</v>
      </c>
      <c r="M26">
        <f>unicount!M26/14330</f>
        <v>1.3956734124214934E-4</v>
      </c>
    </row>
    <row r="27" spans="1:13" x14ac:dyDescent="0.3">
      <c r="A27">
        <v>2000</v>
      </c>
      <c r="B27">
        <f>unicount!B27/8592*1000</f>
        <v>0.58193668528864062</v>
      </c>
      <c r="C27">
        <f>unicount!C27/14108*1000</f>
        <v>0.56705415367167566</v>
      </c>
      <c r="D27">
        <f>unicount!D27/15420*1000</f>
        <v>0.58365758754863817</v>
      </c>
      <c r="E27">
        <f>unicount!E27/15627*1000</f>
        <v>0.38395085429065079</v>
      </c>
      <c r="F27">
        <f>unicount!F27/12998*1000</f>
        <v>0.61547930450838595</v>
      </c>
      <c r="G27">
        <f>unicount!G27/19116*1000</f>
        <v>0.31387319522912743</v>
      </c>
      <c r="H27">
        <f>unicount!H27/1572*1000</f>
        <v>7.6335877862595414</v>
      </c>
      <c r="I27">
        <f>unicount!I27/19096*1000</f>
        <v>0.57603686635944695</v>
      </c>
      <c r="J27">
        <f>unicount!J27/23836*1000</f>
        <v>0.25172008726296358</v>
      </c>
      <c r="K27">
        <f>unicount!K27/20758</f>
        <v>9.6348395799209942E-5</v>
      </c>
      <c r="L27">
        <f>unicount!L27/78775</f>
        <v>1.6502697556331324E-4</v>
      </c>
      <c r="M27">
        <f>unicount!M27/14330</f>
        <v>1.3956734124214934E-4</v>
      </c>
    </row>
    <row r="28" spans="1:13" x14ac:dyDescent="0.3">
      <c r="A28">
        <v>2001</v>
      </c>
      <c r="B28">
        <f>unicount!B28/8592*1000</f>
        <v>0.58193668528864062</v>
      </c>
      <c r="C28">
        <f>unicount!C28/14108*1000</f>
        <v>0.56705415367167566</v>
      </c>
      <c r="D28">
        <f>unicount!D28/15420*1000</f>
        <v>0.51880674448767838</v>
      </c>
      <c r="E28">
        <f>unicount!E28/15627*1000</f>
        <v>0.44794266333909261</v>
      </c>
      <c r="F28">
        <f>unicount!F28/12998*1000</f>
        <v>0.61547930450838595</v>
      </c>
      <c r="G28">
        <f>unicount!G28/19116*1000</f>
        <v>0.31387319522912743</v>
      </c>
      <c r="H28">
        <f>unicount!H28/1572*1000</f>
        <v>7.6335877862595414</v>
      </c>
      <c r="I28">
        <f>unicount!I28/19096*1000</f>
        <v>0.57603686635944695</v>
      </c>
      <c r="J28">
        <f>unicount!J28/23836*1000</f>
        <v>0.29367343514012417</v>
      </c>
      <c r="K28">
        <f>unicount!K28/20758</f>
        <v>9.6348395799209942E-5</v>
      </c>
      <c r="L28">
        <f>unicount!L28/78775</f>
        <v>1.6502697556331324E-4</v>
      </c>
      <c r="M28">
        <f>unicount!M28/14330</f>
        <v>1.3956734124214934E-4</v>
      </c>
    </row>
    <row r="29" spans="1:13" x14ac:dyDescent="0.3">
      <c r="A29">
        <v>2002</v>
      </c>
      <c r="B29">
        <f>unicount!B29/8592*1000</f>
        <v>0.58193668528864062</v>
      </c>
      <c r="C29">
        <f>unicount!C29/14108*1000</f>
        <v>0.56705415367167566</v>
      </c>
      <c r="D29">
        <f>unicount!D29/15420*1000</f>
        <v>0.51880674448767838</v>
      </c>
      <c r="E29">
        <f>unicount!E29/15627*1000</f>
        <v>0.44794266333909261</v>
      </c>
      <c r="F29">
        <f>unicount!F29/12998*1000</f>
        <v>0.61547930450838595</v>
      </c>
      <c r="G29">
        <f>unicount!G29/19116*1000</f>
        <v>0.31387319522912743</v>
      </c>
      <c r="H29">
        <f>unicount!H29/1572*1000</f>
        <v>6.997455470737914</v>
      </c>
      <c r="I29">
        <f>unicount!I29/19096*1000</f>
        <v>0.57603686635944695</v>
      </c>
      <c r="J29">
        <f>unicount!J29/23836*1000</f>
        <v>0.29367343514012417</v>
      </c>
      <c r="K29">
        <f>unicount!K29/20758</f>
        <v>9.6348395799209942E-5</v>
      </c>
      <c r="L29">
        <f>unicount!L29/78775</f>
        <v>1.6502697556331324E-4</v>
      </c>
      <c r="M29">
        <f>unicount!M29/14330</f>
        <v>1.3956734124214934E-4</v>
      </c>
    </row>
    <row r="30" spans="1:13" x14ac:dyDescent="0.3">
      <c r="A30">
        <v>2003</v>
      </c>
      <c r="B30">
        <f>unicount!B30/8592*1000</f>
        <v>0.58193668528864062</v>
      </c>
      <c r="C30">
        <f>unicount!C30/14108*1000</f>
        <v>0.56705415367167566</v>
      </c>
      <c r="D30">
        <f>unicount!D30/15420*1000</f>
        <v>0.51880674448767838</v>
      </c>
      <c r="E30">
        <f>unicount!E30/15627*1000</f>
        <v>0.44794266333909261</v>
      </c>
      <c r="F30">
        <f>unicount!F30/12998*1000</f>
        <v>0.61547930450838595</v>
      </c>
      <c r="G30">
        <f>unicount!G30/19116*1000</f>
        <v>0.31387319522912743</v>
      </c>
      <c r="H30">
        <f>unicount!H30/1572*1000</f>
        <v>6.997455470737914</v>
      </c>
      <c r="I30">
        <f>unicount!I30/19096*1000</f>
        <v>0.57603686635944695</v>
      </c>
      <c r="J30">
        <f>unicount!J30/23836*1000</f>
        <v>0.29367343514012417</v>
      </c>
      <c r="K30">
        <f>unicount!K30/20758</f>
        <v>9.6348395799209942E-5</v>
      </c>
      <c r="L30">
        <f>unicount!L30/78775</f>
        <v>1.6502697556331324E-4</v>
      </c>
      <c r="M30">
        <f>unicount!M30/14330</f>
        <v>1.3956734124214934E-4</v>
      </c>
    </row>
    <row r="31" spans="1:13" x14ac:dyDescent="0.3">
      <c r="A31">
        <v>2004</v>
      </c>
      <c r="B31">
        <f>unicount!B31/8592*1000</f>
        <v>0.58193668528864062</v>
      </c>
      <c r="C31">
        <f>unicount!C31/14108*1000</f>
        <v>0.56705415367167566</v>
      </c>
      <c r="D31">
        <f>unicount!D31/15420*1000</f>
        <v>0.51880674448767838</v>
      </c>
      <c r="E31">
        <f>unicount!E31/15627*1000</f>
        <v>0.44794266333909261</v>
      </c>
      <c r="F31">
        <f>unicount!F31/12998*1000</f>
        <v>0.61547930450838595</v>
      </c>
      <c r="G31">
        <f>unicount!G31/19116*1000</f>
        <v>0.31387319522912743</v>
      </c>
      <c r="H31">
        <f>unicount!H31/1572*1000</f>
        <v>8.2697201017811697</v>
      </c>
      <c r="I31">
        <f>unicount!I31/19096*1000</f>
        <v>0.57603686635944695</v>
      </c>
      <c r="J31">
        <f>unicount!J31/23836*1000</f>
        <v>0.29367343514012417</v>
      </c>
      <c r="K31">
        <f>unicount!K31/20758</f>
        <v>9.6348395799209942E-5</v>
      </c>
      <c r="L31">
        <f>unicount!L31/78775</f>
        <v>1.6502697556331324E-4</v>
      </c>
      <c r="M31">
        <f>unicount!M31/14330</f>
        <v>1.3956734124214934E-4</v>
      </c>
    </row>
    <row r="32" spans="1:13" x14ac:dyDescent="0.3">
      <c r="A32">
        <v>2005</v>
      </c>
      <c r="B32">
        <f>unicount!B32/8592*1000</f>
        <v>0.58193668528864062</v>
      </c>
      <c r="C32">
        <f>unicount!C32/14108*1000</f>
        <v>0.70881769208959455</v>
      </c>
      <c r="D32">
        <f>unicount!D32/15420*1000</f>
        <v>0.51880674448767838</v>
      </c>
      <c r="E32">
        <f>unicount!E32/15627*1000</f>
        <v>0.51193447238753442</v>
      </c>
      <c r="F32">
        <f>unicount!F32/12998*1000</f>
        <v>0.69241421757193411</v>
      </c>
      <c r="G32">
        <f>unicount!G32/19116*1000</f>
        <v>0.31387319522912743</v>
      </c>
      <c r="H32">
        <f>unicount!H32/1572*1000</f>
        <v>8.2697201017811697</v>
      </c>
      <c r="I32">
        <f>unicount!I32/19096*1000</f>
        <v>0.78550481776288228</v>
      </c>
      <c r="J32">
        <f>unicount!J32/23836*1000</f>
        <v>0.33562678301728482</v>
      </c>
      <c r="K32">
        <f>unicount!K32/20758</f>
        <v>1.4452259369881492E-4</v>
      </c>
      <c r="L32">
        <f>unicount!L32/78775</f>
        <v>1.6502697556331324E-4</v>
      </c>
      <c r="M32">
        <f>unicount!M32/14330</f>
        <v>1.3956734124214934E-4</v>
      </c>
    </row>
    <row r="33" spans="1:13" x14ac:dyDescent="0.3">
      <c r="A33">
        <v>2006</v>
      </c>
      <c r="B33">
        <f>unicount!B33/8592*1000</f>
        <v>0.58193668528864062</v>
      </c>
      <c r="C33">
        <f>unicount!C33/14108*1000</f>
        <v>0.77969946129855405</v>
      </c>
      <c r="D33">
        <f>unicount!D33/15420*1000</f>
        <v>0.58365758754863817</v>
      </c>
      <c r="E33">
        <f>unicount!E33/15627*1000</f>
        <v>0.51193447238753442</v>
      </c>
      <c r="F33">
        <f>unicount!F33/12998*1000</f>
        <v>0.69241421757193411</v>
      </c>
      <c r="G33">
        <f>unicount!G33/19116*1000</f>
        <v>0.36618539443398201</v>
      </c>
      <c r="H33">
        <f>unicount!H33/1572*1000</f>
        <v>8.2697201017811697</v>
      </c>
      <c r="I33">
        <f>unicount!I33/19096*1000</f>
        <v>0.78550481776288228</v>
      </c>
      <c r="J33">
        <f>unicount!J33/23836*1000</f>
        <v>0.33562678301728482</v>
      </c>
      <c r="K33">
        <f>unicount!K33/20758</f>
        <v>1.4452259369881492E-4</v>
      </c>
      <c r="L33">
        <f>unicount!L33/78775</f>
        <v>1.6502697556331324E-4</v>
      </c>
      <c r="M33">
        <f>unicount!M33/14330</f>
        <v>1.3956734124214934E-4</v>
      </c>
    </row>
    <row r="34" spans="1:13" x14ac:dyDescent="0.3">
      <c r="A34">
        <v>2007</v>
      </c>
      <c r="B34">
        <f>unicount!B34/8592*1000</f>
        <v>0.58193668528864062</v>
      </c>
      <c r="C34">
        <f>unicount!C34/14108*1000</f>
        <v>0.85058123050751344</v>
      </c>
      <c r="D34">
        <f>unicount!D34/15420*1000</f>
        <v>0.58365758754863817</v>
      </c>
      <c r="E34">
        <f>unicount!E34/15627*1000</f>
        <v>0.51193447238753442</v>
      </c>
      <c r="F34">
        <f>unicount!F34/12998*1000</f>
        <v>0.69241421757193411</v>
      </c>
      <c r="G34">
        <f>unicount!G34/19116*1000</f>
        <v>0.36618539443398201</v>
      </c>
      <c r="H34">
        <f>unicount!H34/1572*1000</f>
        <v>8.905852417302798</v>
      </c>
      <c r="I34">
        <f>unicount!I34/19096*1000</f>
        <v>0.83787180561374108</v>
      </c>
      <c r="J34">
        <f>unicount!J34/23836*1000</f>
        <v>0.33562678301728482</v>
      </c>
      <c r="K34">
        <f>unicount!K34/20758</f>
        <v>2.8904518739762984E-4</v>
      </c>
      <c r="L34">
        <f>unicount!L34/78775</f>
        <v>1.7772135829895272E-4</v>
      </c>
      <c r="M34">
        <f>unicount!M34/14330</f>
        <v>1.3956734124214934E-4</v>
      </c>
    </row>
    <row r="35" spans="1:13" x14ac:dyDescent="0.3">
      <c r="A35">
        <v>2008</v>
      </c>
      <c r="B35">
        <f>unicount!B35/8592*1000</f>
        <v>0.58193668528864062</v>
      </c>
      <c r="C35">
        <f>unicount!C35/14108*1000</f>
        <v>0.85058123050751344</v>
      </c>
      <c r="D35">
        <f>unicount!D35/15420*1000</f>
        <v>0.58365758754863817</v>
      </c>
      <c r="E35">
        <f>unicount!E35/15627*1000</f>
        <v>0.51193447238753442</v>
      </c>
      <c r="F35">
        <f>unicount!F35/12998*1000</f>
        <v>0.69241421757193411</v>
      </c>
      <c r="G35">
        <f>unicount!G35/19116*1000</f>
        <v>0.36618539443398201</v>
      </c>
      <c r="H35">
        <f>unicount!H35/1572*1000</f>
        <v>8.905852417302798</v>
      </c>
      <c r="I35">
        <f>unicount!I35/19096*1000</f>
        <v>0.89023879346459989</v>
      </c>
      <c r="J35">
        <f>unicount!J35/23836*1000</f>
        <v>0.33562678301728482</v>
      </c>
      <c r="K35">
        <f>unicount!K35/20758</f>
        <v>3.8539358319683977E-4</v>
      </c>
      <c r="L35">
        <f>unicount!L35/78775</f>
        <v>1.7772135829895272E-4</v>
      </c>
      <c r="M35">
        <f>unicount!M35/14330</f>
        <v>1.3956734124214934E-4</v>
      </c>
    </row>
    <row r="36" spans="1:13" x14ac:dyDescent="0.3">
      <c r="A36">
        <v>2009</v>
      </c>
      <c r="B36">
        <f>unicount!B36/8592*1000</f>
        <v>0.58193668528864062</v>
      </c>
      <c r="C36">
        <f>unicount!C36/14108*1000</f>
        <v>0.85058123050751344</v>
      </c>
      <c r="D36">
        <f>unicount!D36/15420*1000</f>
        <v>0.58365758754863817</v>
      </c>
      <c r="E36">
        <f>unicount!E36/15627*1000</f>
        <v>0.51193447238753442</v>
      </c>
      <c r="F36">
        <f>unicount!F36/12998*1000</f>
        <v>0.69241421757193411</v>
      </c>
      <c r="G36">
        <f>unicount!G36/19116*1000</f>
        <v>0.36618539443398201</v>
      </c>
      <c r="H36">
        <f>unicount!H36/1572*1000</f>
        <v>8.905852417302798</v>
      </c>
      <c r="I36">
        <f>unicount!I36/19096*1000</f>
        <v>0.89023879346459989</v>
      </c>
      <c r="J36">
        <f>unicount!J36/23836*1000</f>
        <v>0.33562678301728482</v>
      </c>
      <c r="K36">
        <f>unicount!K36/20758</f>
        <v>3.8539358319683977E-4</v>
      </c>
      <c r="L36">
        <f>unicount!L36/78775</f>
        <v>1.7772135829895272E-4</v>
      </c>
      <c r="M36">
        <f>unicount!M36/14330</f>
        <v>1.3956734124214934E-4</v>
      </c>
    </row>
    <row r="37" spans="1:13" x14ac:dyDescent="0.3">
      <c r="A37">
        <v>2010</v>
      </c>
      <c r="B37">
        <f>unicount!B37/8592*1000</f>
        <v>0.58193668528864062</v>
      </c>
      <c r="C37">
        <f>unicount!C37/14108*1000</f>
        <v>0.85058123050751344</v>
      </c>
      <c r="D37">
        <f>unicount!D37/15420*1000</f>
        <v>0.58365758754863817</v>
      </c>
      <c r="E37">
        <f>unicount!E37/15627*1000</f>
        <v>0.51193447238753442</v>
      </c>
      <c r="F37">
        <f>unicount!F37/12998*1000</f>
        <v>0.69241421757193411</v>
      </c>
      <c r="G37">
        <f>unicount!G37/19116*1000</f>
        <v>0.36618539443398201</v>
      </c>
      <c r="H37">
        <f>unicount!H37/1572*1000</f>
        <v>8.905852417302798</v>
      </c>
      <c r="I37">
        <f>unicount!I37/19096*1000</f>
        <v>0.89023879346459989</v>
      </c>
      <c r="J37">
        <f>unicount!J37/23836*1000</f>
        <v>0.33562678301728482</v>
      </c>
      <c r="K37">
        <f>unicount!K37/20758</f>
        <v>4.3356778109644473E-4</v>
      </c>
      <c r="L37">
        <f>unicount!L37/78775</f>
        <v>1.7772135829895272E-4</v>
      </c>
      <c r="M37">
        <f>unicount!M37/14330</f>
        <v>1.3956734124214934E-4</v>
      </c>
    </row>
    <row r="38" spans="1:13" x14ac:dyDescent="0.3">
      <c r="A38">
        <v>2011</v>
      </c>
      <c r="B38">
        <f>unicount!B38/8592*1000</f>
        <v>0.58193668528864062</v>
      </c>
      <c r="C38">
        <f>unicount!C38/14108*1000</f>
        <v>0.85058123050751344</v>
      </c>
      <c r="D38">
        <f>unicount!D38/15420*1000</f>
        <v>0.58365758754863817</v>
      </c>
      <c r="E38">
        <f>unicount!E38/15627*1000</f>
        <v>0.51193447238753442</v>
      </c>
      <c r="F38">
        <f>unicount!F38/12998*1000</f>
        <v>0.69241421757193411</v>
      </c>
      <c r="G38">
        <f>unicount!G38/19116*1000</f>
        <v>0.36618539443398201</v>
      </c>
      <c r="H38">
        <f>unicount!H38/1572*1000</f>
        <v>8.905852417302798</v>
      </c>
      <c r="I38">
        <f>unicount!I38/19096*1000</f>
        <v>0.89023879346459989</v>
      </c>
      <c r="J38">
        <f>unicount!J38/23836*1000</f>
        <v>0.33562678301728482</v>
      </c>
      <c r="K38">
        <f>unicount!K38/20758</f>
        <v>4.3356778109644473E-4</v>
      </c>
      <c r="L38">
        <f>unicount!L38/78775</f>
        <v>1.9041574103459218E-4</v>
      </c>
      <c r="M38">
        <f>unicount!M38/14330</f>
        <v>1.3956734124214934E-4</v>
      </c>
    </row>
    <row r="39" spans="1:13" x14ac:dyDescent="0.3">
      <c r="A39">
        <v>2012</v>
      </c>
      <c r="B39">
        <f>unicount!B39/8592*1000</f>
        <v>0.58193668528864062</v>
      </c>
      <c r="C39">
        <f>unicount!C39/14108*1000</f>
        <v>0.85058123050751344</v>
      </c>
      <c r="D39">
        <f>unicount!D39/15420*1000</f>
        <v>0.64850843060959795</v>
      </c>
      <c r="E39">
        <f>unicount!E39/15627*1000</f>
        <v>0.57592628143597624</v>
      </c>
      <c r="F39">
        <f>unicount!F39/12998*1000</f>
        <v>0.92321895676257881</v>
      </c>
      <c r="G39">
        <f>unicount!G39/19116*1000</f>
        <v>0.4184975936388366</v>
      </c>
      <c r="H39">
        <f>unicount!H39/1572*1000</f>
        <v>8.905852417302798</v>
      </c>
      <c r="I39">
        <f>unicount!I39/19096*1000</f>
        <v>0.94260578131545869</v>
      </c>
      <c r="J39">
        <f>unicount!J39/23836*1000</f>
        <v>0.46148682664876656</v>
      </c>
      <c r="K39">
        <f>unicount!K39/20758</f>
        <v>4.3356778109644473E-4</v>
      </c>
      <c r="L39">
        <f>unicount!L39/78775</f>
        <v>1.9041574103459218E-4</v>
      </c>
      <c r="M39">
        <f>unicount!M39/14330</f>
        <v>1.3956734124214934E-4</v>
      </c>
    </row>
    <row r="40" spans="1:13" x14ac:dyDescent="0.3">
      <c r="A40">
        <v>2013</v>
      </c>
      <c r="B40">
        <f>unicount!B40/8592*1000</f>
        <v>0.58193668528864062</v>
      </c>
      <c r="C40">
        <f>unicount!C40/14108*1000</f>
        <v>0.85058123050751344</v>
      </c>
      <c r="D40">
        <f>unicount!D40/15420*1000</f>
        <v>0.64850843060959795</v>
      </c>
      <c r="E40">
        <f>unicount!E40/15627*1000</f>
        <v>0.57592628143597624</v>
      </c>
      <c r="F40">
        <f>unicount!F40/12998*1000</f>
        <v>0.92321895676257881</v>
      </c>
      <c r="G40">
        <f>unicount!G40/19116*1000</f>
        <v>0.4184975936388366</v>
      </c>
      <c r="H40">
        <f>unicount!H40/1572*1000</f>
        <v>10.178117048346056</v>
      </c>
      <c r="I40">
        <f>unicount!I40/19096*1000</f>
        <v>0.94260578131545869</v>
      </c>
      <c r="J40">
        <f>unicount!J40/23836*1000</f>
        <v>0.50344017452592715</v>
      </c>
      <c r="K40">
        <f>unicount!K40/20758</f>
        <v>3.8539358319683977E-4</v>
      </c>
      <c r="L40">
        <f>unicount!L40/78775</f>
        <v>1.9041574103459218E-4</v>
      </c>
      <c r="M40">
        <f>unicount!M40/14330</f>
        <v>1.3956734124214934E-4</v>
      </c>
    </row>
    <row r="41" spans="1:13" x14ac:dyDescent="0.3">
      <c r="A41">
        <v>2014</v>
      </c>
      <c r="B41">
        <f>unicount!B41/8592*1000</f>
        <v>0.58193668528864062</v>
      </c>
      <c r="C41">
        <f>unicount!C41/14108*1000</f>
        <v>0.85058123050751344</v>
      </c>
      <c r="D41">
        <f>unicount!D41/15420*1000</f>
        <v>0.64850843060959795</v>
      </c>
      <c r="E41">
        <f>unicount!E41/15627*1000</f>
        <v>0.57592628143597624</v>
      </c>
      <c r="F41">
        <f>unicount!F41/12998*1000</f>
        <v>0.92321895676257881</v>
      </c>
      <c r="G41">
        <f>unicount!G41/19116*1000</f>
        <v>0.4184975936388366</v>
      </c>
      <c r="H41">
        <f>unicount!H41/1572*1000</f>
        <v>10.814249363867685</v>
      </c>
      <c r="I41">
        <f>unicount!I41/19096*1000</f>
        <v>0.94260578131545869</v>
      </c>
      <c r="J41">
        <f>unicount!J41/23836*1000</f>
        <v>0.50344017452592715</v>
      </c>
      <c r="K41">
        <f>unicount!K41/20758</f>
        <v>3.8539358319683977E-4</v>
      </c>
      <c r="L41">
        <f>unicount!L41/78775</f>
        <v>1.9041574103459218E-4</v>
      </c>
      <c r="M41">
        <f>unicount!M41/14330</f>
        <v>1.3956734124214934E-4</v>
      </c>
    </row>
    <row r="42" spans="1:13" x14ac:dyDescent="0.3">
      <c r="A42">
        <v>2015</v>
      </c>
      <c r="B42">
        <f>unicount!B42/8592*1000</f>
        <v>0.58193668528864062</v>
      </c>
      <c r="C42">
        <f>unicount!C42/14108*1000</f>
        <v>0.85058123050751344</v>
      </c>
      <c r="D42">
        <f>unicount!D42/15420*1000</f>
        <v>0.64850843060959795</v>
      </c>
      <c r="E42">
        <f>unicount!E42/15627*1000</f>
        <v>0.57592628143597624</v>
      </c>
      <c r="F42">
        <f>unicount!F42/12998*1000</f>
        <v>1.000153869826127</v>
      </c>
      <c r="G42">
        <f>unicount!G42/19116*1000</f>
        <v>0.4184975936388366</v>
      </c>
      <c r="H42">
        <f>unicount!H42/1572*1000</f>
        <v>10.814249363867685</v>
      </c>
      <c r="I42">
        <f>unicount!I42/19096*1000</f>
        <v>0.94260578131545869</v>
      </c>
      <c r="J42">
        <f>unicount!J42/23836*1000</f>
        <v>0.50344017452592715</v>
      </c>
      <c r="K42">
        <f>unicount!K42/20758</f>
        <v>3.8539358319683977E-4</v>
      </c>
      <c r="L42">
        <f>unicount!L42/78775</f>
        <v>1.9041574103459218E-4</v>
      </c>
      <c r="M42">
        <f>unicount!M42/14330</f>
        <v>1.3956734124214934E-4</v>
      </c>
    </row>
    <row r="43" spans="1:13" x14ac:dyDescent="0.3">
      <c r="A43">
        <v>2016</v>
      </c>
      <c r="B43">
        <f>unicount!B43/8592*1000</f>
        <v>0.58193668528864062</v>
      </c>
      <c r="C43">
        <f>unicount!C43/14108*1000</f>
        <v>0.85058123050751344</v>
      </c>
      <c r="D43">
        <f>unicount!D43/15420*1000</f>
        <v>0.64850843060959795</v>
      </c>
      <c r="E43">
        <f>unicount!E43/15627*1000</f>
        <v>0.57592628143597624</v>
      </c>
      <c r="F43">
        <f>unicount!F43/12998*1000</f>
        <v>1.000153869826127</v>
      </c>
      <c r="G43">
        <f>unicount!G43/19116*1000</f>
        <v>0.47080979284369112</v>
      </c>
      <c r="H43">
        <f>unicount!H43/1572*1000</f>
        <v>10.178117048346056</v>
      </c>
      <c r="I43">
        <f>unicount!I43/19096*1000</f>
        <v>0.94260578131545869</v>
      </c>
      <c r="J43">
        <f>unicount!J43/23836*1000</f>
        <v>0.50344017452592715</v>
      </c>
      <c r="K43">
        <f>unicount!K43/20758</f>
        <v>3.8539358319683977E-4</v>
      </c>
      <c r="L43">
        <f>unicount!L43/78775</f>
        <v>1.9041574103459218E-4</v>
      </c>
      <c r="M43">
        <f>unicount!M43/14330</f>
        <v>1.3956734124214934E-4</v>
      </c>
    </row>
    <row r="44" spans="1:13" x14ac:dyDescent="0.3">
      <c r="A44">
        <v>2017</v>
      </c>
      <c r="B44">
        <f>unicount!B44/8592*1000</f>
        <v>0.58193668528864062</v>
      </c>
      <c r="C44">
        <f>unicount!C44/14108*1000</f>
        <v>0.85058123050751344</v>
      </c>
      <c r="D44">
        <f>unicount!D44/15420*1000</f>
        <v>0.71335927367055763</v>
      </c>
      <c r="E44">
        <f>unicount!E44/15627*1000</f>
        <v>0.57592628143597624</v>
      </c>
      <c r="F44">
        <f>unicount!F44/12998*1000</f>
        <v>1.000153869826127</v>
      </c>
      <c r="G44">
        <f>unicount!G44/19116*1000</f>
        <v>0.47080979284369112</v>
      </c>
      <c r="H44">
        <f>unicount!H44/1572*1000</f>
        <v>10.178117048346056</v>
      </c>
      <c r="I44">
        <f>unicount!I44/19096*1000</f>
        <v>0.94260578131545869</v>
      </c>
      <c r="J44">
        <f>unicount!J44/23836*1000</f>
        <v>0.50344017452592715</v>
      </c>
      <c r="K44">
        <f>unicount!K44/20758</f>
        <v>3.8539358319683977E-4</v>
      </c>
      <c r="L44">
        <f>unicount!L44/78775</f>
        <v>1.9041574103459218E-4</v>
      </c>
      <c r="M44">
        <f>unicount!M44/14330</f>
        <v>1.3956734124214934E-4</v>
      </c>
    </row>
    <row r="45" spans="1:13" x14ac:dyDescent="0.3">
      <c r="A45">
        <v>2018</v>
      </c>
      <c r="B45">
        <f>unicount!B45/8592*1000</f>
        <v>0.58193668528864062</v>
      </c>
      <c r="C45">
        <f>unicount!C45/14108*1000</f>
        <v>0.85058123050751344</v>
      </c>
      <c r="D45">
        <f>unicount!D45/15420*1000</f>
        <v>0.71335927367055763</v>
      </c>
      <c r="E45">
        <f>unicount!E45/15627*1000</f>
        <v>0.57592628143597624</v>
      </c>
      <c r="F45">
        <f>unicount!F45/12998*1000</f>
        <v>1.000153869826127</v>
      </c>
      <c r="G45">
        <f>unicount!G45/19116*1000</f>
        <v>0.47080979284369112</v>
      </c>
      <c r="H45">
        <f>unicount!H45/1572*1000</f>
        <v>10.814249363867685</v>
      </c>
      <c r="I45">
        <f>unicount!I45/19096*1000</f>
        <v>0.94260578131545869</v>
      </c>
      <c r="J45">
        <f>unicount!J45/23836*1000</f>
        <v>0.54539352240308769</v>
      </c>
      <c r="K45">
        <f>unicount!K45/20758</f>
        <v>3.8539358319683977E-4</v>
      </c>
      <c r="L45">
        <f>unicount!L45/78775</f>
        <v>1.9041574103459218E-4</v>
      </c>
      <c r="M45">
        <f>unicount!M45/14330</f>
        <v>1.3956734124214934E-4</v>
      </c>
    </row>
    <row r="46" spans="1:13" x14ac:dyDescent="0.3">
      <c r="A46">
        <v>2019</v>
      </c>
      <c r="B46">
        <f>unicount!B46/8592*1000</f>
        <v>0.58193668528864062</v>
      </c>
      <c r="C46">
        <f>unicount!C46/14108*1000</f>
        <v>0.85058123050751344</v>
      </c>
      <c r="D46">
        <f>unicount!D46/15420*1000</f>
        <v>0.71335927367055763</v>
      </c>
      <c r="E46">
        <f>unicount!E46/15627*1000</f>
        <v>0.57592628143597624</v>
      </c>
      <c r="F46">
        <f>unicount!F46/12998*1000</f>
        <v>1.000153869826127</v>
      </c>
      <c r="G46">
        <f>unicount!G46/19116*1000</f>
        <v>0.47080979284369112</v>
      </c>
      <c r="H46">
        <f>unicount!H46/1572*1000</f>
        <v>11.450381679389313</v>
      </c>
      <c r="I46">
        <f>unicount!I46/19096*1000</f>
        <v>0.94260578131545869</v>
      </c>
      <c r="J46">
        <f>unicount!J46/23836*1000</f>
        <v>0.54539352240308769</v>
      </c>
      <c r="K46">
        <f>unicount!K46/20758</f>
        <v>3.8539358319683977E-4</v>
      </c>
      <c r="L46">
        <f>unicount!L46/78775</f>
        <v>1.9041574103459218E-4</v>
      </c>
      <c r="M46">
        <f>unicount!M46/14330</f>
        <v>1.3956734124214934E-4</v>
      </c>
    </row>
    <row r="47" spans="1:13" x14ac:dyDescent="0.3">
      <c r="A47">
        <v>2020</v>
      </c>
      <c r="B47">
        <f>unicount!B47/8592*1000</f>
        <v>0.58193668528864062</v>
      </c>
      <c r="C47">
        <f>unicount!C47/14108*1000</f>
        <v>0.85058123050751344</v>
      </c>
      <c r="D47">
        <f>unicount!D47/15420*1000</f>
        <v>0.71335927367055763</v>
      </c>
      <c r="E47">
        <f>unicount!E47/15627*1000</f>
        <v>0.57592628143597624</v>
      </c>
      <c r="F47">
        <f>unicount!F47/12998*1000</f>
        <v>1.000153869826127</v>
      </c>
      <c r="G47">
        <f>unicount!G47/19116*1000</f>
        <v>0.47080979284369112</v>
      </c>
      <c r="H47">
        <f>unicount!H47/1572*1000</f>
        <v>11.450381679389313</v>
      </c>
      <c r="I47">
        <f>unicount!I47/19096*1000</f>
        <v>0.94260578131545869</v>
      </c>
      <c r="J47">
        <f>unicount!J47/23836*1000</f>
        <v>0.54539352240308769</v>
      </c>
      <c r="K47">
        <f>unicount!K47/20758</f>
        <v>3.8539358319683977E-4</v>
      </c>
      <c r="L47">
        <f>unicount!L47/78775</f>
        <v>1.9041574103459218E-4</v>
      </c>
      <c r="M47">
        <f>unicount!M47/14330</f>
        <v>1.3956734124214934E-4</v>
      </c>
    </row>
    <row r="48" spans="1:13" x14ac:dyDescent="0.3">
      <c r="A48">
        <v>2021</v>
      </c>
      <c r="B48">
        <f>unicount!B48/8592*1000</f>
        <v>0.58193668528864062</v>
      </c>
      <c r="C48">
        <f>unicount!C48/14108*1000</f>
        <v>0.85058123050751344</v>
      </c>
      <c r="D48">
        <f>unicount!D48/15420*1000</f>
        <v>0.71335927367055763</v>
      </c>
      <c r="E48">
        <f>unicount!E48/15627*1000</f>
        <v>0.57592628143597624</v>
      </c>
      <c r="F48">
        <f>unicount!F48/12998*1000</f>
        <v>1.000153869826127</v>
      </c>
      <c r="G48">
        <f>unicount!G48/19116*1000</f>
        <v>0.47080979284369112</v>
      </c>
      <c r="H48">
        <f>unicount!H48/1572*1000</f>
        <v>11.450381679389313</v>
      </c>
      <c r="I48">
        <f>unicount!I48/19096*1000</f>
        <v>0.94260578131545869</v>
      </c>
      <c r="J48">
        <f>unicount!J48/23836*1000</f>
        <v>0.54539352240308769</v>
      </c>
      <c r="K48">
        <f>unicount!K48/20758</f>
        <v>3.8539358319683977E-4</v>
      </c>
      <c r="L48">
        <f>unicount!L48/78775</f>
        <v>1.9041574103459218E-4</v>
      </c>
      <c r="M48">
        <f>unicount!M48/14330</f>
        <v>1.3956734124214934E-4</v>
      </c>
    </row>
    <row r="49" spans="1:13" x14ac:dyDescent="0.3">
      <c r="A49">
        <v>2022</v>
      </c>
      <c r="B49">
        <f>unicount!B49/8592*1000</f>
        <v>0.58193668528864062</v>
      </c>
      <c r="C49">
        <f>unicount!C49/14108*1000</f>
        <v>0.85058123050751344</v>
      </c>
      <c r="D49">
        <f>unicount!D49/15420*1000</f>
        <v>0.71335927367055763</v>
      </c>
      <c r="E49">
        <f>unicount!E49/15627*1000</f>
        <v>0.57592628143597624</v>
      </c>
      <c r="F49">
        <f>unicount!F49/12998*1000</f>
        <v>1.000153869826127</v>
      </c>
      <c r="G49">
        <f>unicount!G49/19116*1000</f>
        <v>0.47080979284369112</v>
      </c>
      <c r="H49">
        <f>unicount!H49/1572*1000</f>
        <v>13.358778625954198</v>
      </c>
      <c r="I49">
        <f>unicount!I49/19096*1000</f>
        <v>1.0473397570171763</v>
      </c>
      <c r="J49">
        <f>unicount!J49/23836*1000</f>
        <v>0.58734687028024835</v>
      </c>
      <c r="K49">
        <f>unicount!K49/20758</f>
        <v>3.8539358319683977E-4</v>
      </c>
      <c r="L49">
        <f>unicount!L49/78775</f>
        <v>1.9041574103459218E-4</v>
      </c>
      <c r="M49">
        <f>unicount!M49/14330</f>
        <v>1.3956734124214934E-4</v>
      </c>
    </row>
    <row r="50" spans="1:13" x14ac:dyDescent="0.3">
      <c r="A50">
        <v>2023</v>
      </c>
      <c r="B50">
        <f>unicount!B50/8592*1000</f>
        <v>0.58193668528864062</v>
      </c>
      <c r="C50">
        <f>unicount!C50/14108*1000</f>
        <v>0.85058123050751344</v>
      </c>
      <c r="D50">
        <f>unicount!D50/15420*1000</f>
        <v>0.71335927367055763</v>
      </c>
      <c r="E50">
        <f>unicount!E50/15627*1000</f>
        <v>0.57592628143597624</v>
      </c>
      <c r="F50">
        <f>unicount!F50/12998*1000</f>
        <v>1.000153869826127</v>
      </c>
      <c r="G50">
        <f>unicount!G50/19116*1000</f>
        <v>0.47080979284369112</v>
      </c>
      <c r="H50">
        <f>unicount!H50/1572*1000</f>
        <v>17.811704834605596</v>
      </c>
      <c r="I50">
        <f>unicount!I50/19096*1000</f>
        <v>1.0473397570171763</v>
      </c>
      <c r="J50">
        <f>unicount!J50/23836*1000</f>
        <v>0.58734687028024835</v>
      </c>
      <c r="K50">
        <f>unicount!K50/20758</f>
        <v>3.8539358319683977E-4</v>
      </c>
      <c r="L50">
        <f>unicount!L50/78775</f>
        <v>1.9041574103459218E-4</v>
      </c>
      <c r="M50">
        <f>unicount!M50/14330</f>
        <v>1.3956734124214934E-4</v>
      </c>
    </row>
    <row r="51" spans="1:13" x14ac:dyDescent="0.3">
      <c r="A51">
        <v>2024</v>
      </c>
      <c r="B51">
        <f>unicount!B51/8592*1000</f>
        <v>0.58193668528864062</v>
      </c>
      <c r="C51">
        <f>unicount!C51/14108*1000</f>
        <v>0.85058123050751344</v>
      </c>
      <c r="D51">
        <f>unicount!D51/15420*1000</f>
        <v>0.71335927367055763</v>
      </c>
      <c r="E51">
        <f>unicount!E51/15627*1000</f>
        <v>0.57592628143597624</v>
      </c>
      <c r="F51">
        <f>unicount!F51/12998*1000</f>
        <v>1.000153869826127</v>
      </c>
      <c r="G51">
        <f>unicount!G51/19116*1000</f>
        <v>0.47080979284369112</v>
      </c>
      <c r="H51">
        <f>unicount!H51/1572*1000</f>
        <v>17.811704834605596</v>
      </c>
      <c r="I51">
        <f>unicount!I51/19096*1000</f>
        <v>1.0473397570171763</v>
      </c>
      <c r="J51">
        <f>unicount!J51/23836*1000</f>
        <v>0.629300218157409</v>
      </c>
      <c r="K51">
        <f>unicount!K51/20758</f>
        <v>3.8539358319683977E-4</v>
      </c>
      <c r="L51">
        <f>unicount!L51/78775</f>
        <v>1.9041574103459218E-4</v>
      </c>
      <c r="M51">
        <f>unicount!M51/14330</f>
        <v>1.3956734124214934E-4</v>
      </c>
    </row>
    <row r="52" spans="1:13" x14ac:dyDescent="0.3">
      <c r="A52">
        <v>2025</v>
      </c>
      <c r="B52">
        <f>unicount!B52/8592*1000</f>
        <v>0.58193668528864062</v>
      </c>
      <c r="C52">
        <f>unicount!C52/14108*1000</f>
        <v>0.85058123050751344</v>
      </c>
      <c r="D52">
        <f>unicount!D52/15420*1000</f>
        <v>0.71335927367055763</v>
      </c>
      <c r="E52">
        <f>unicount!E52/15627*1000</f>
        <v>0.57592628143597624</v>
      </c>
      <c r="F52">
        <f>unicount!F52/12998*1000</f>
        <v>1.000153869826127</v>
      </c>
      <c r="G52">
        <f>unicount!G52/19116*1000</f>
        <v>0.47080979284369112</v>
      </c>
      <c r="H52">
        <f>unicount!H52/1572*1000</f>
        <v>17.811704834605596</v>
      </c>
      <c r="I52">
        <f>unicount!I52/19096*1000</f>
        <v>1.0473397570171763</v>
      </c>
      <c r="J52">
        <f>unicount!J52/23836*1000</f>
        <v>0.629300218157409</v>
      </c>
      <c r="K52">
        <f>unicount!K52/20758</f>
        <v>3.8539358319683977E-4</v>
      </c>
      <c r="L52">
        <f>unicount!L52/78775</f>
        <v>1.9041574103459218E-4</v>
      </c>
      <c r="M52">
        <f>unicount!M52/14330</f>
        <v>1.3956734124214934E-4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22A50-C455-43B1-92A7-811A8F58B95F}">
  <dimension ref="A1:K52"/>
  <sheetViews>
    <sheetView workbookViewId="0">
      <selection activeCell="B2" sqref="B2"/>
    </sheetView>
  </sheetViews>
  <sheetFormatPr defaultRowHeight="14.4" x14ac:dyDescent="0.3"/>
  <sheetData>
    <row r="1" spans="1:10" x14ac:dyDescent="0.3">
      <c r="A1" s="1" t="s">
        <v>9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0</v>
      </c>
      <c r="H1" s="1" t="s">
        <v>1</v>
      </c>
      <c r="I1" s="1" t="s">
        <v>7</v>
      </c>
      <c r="J1" s="1" t="s">
        <v>8</v>
      </c>
    </row>
    <row r="2" spans="1:10" x14ac:dyDescent="0.3">
      <c r="A2">
        <v>1975</v>
      </c>
      <c r="B2">
        <f>unicount!B2/pop!B2*100000-pop!$K2</f>
        <v>-2795399.9237258076</v>
      </c>
      <c r="C2">
        <f>unicount!C2/pop!C2*100000-pop!$K2</f>
        <v>-2795399.9420259064</v>
      </c>
      <c r="D2">
        <f>unicount!D2/pop!D2*100000-pop!$K2</f>
        <v>-2795399.8980880873</v>
      </c>
      <c r="E2">
        <f>unicount!E2/pop!E2*100000-pop!$K2</f>
        <v>-2795399.9222251223</v>
      </c>
      <c r="F2">
        <f>unicount!F2/pop!F2*100000-pop!$K2</f>
        <v>-2795399.9227771405</v>
      </c>
      <c r="G2">
        <f>unicount!G2/pop!G2*100000-pop!$K2</f>
        <v>-2795399.9386411132</v>
      </c>
      <c r="H2">
        <f>unicount!H2/pop!H2*100000-pop!$K2</f>
        <v>-2795399.955628721</v>
      </c>
      <c r="I2">
        <f>unicount!I2/pop!I2*100000-pop!$K2</f>
        <v>-2795399.9040499139</v>
      </c>
      <c r="J2">
        <f>unicount!J2/pop!J2*100000-pop!$K2</f>
        <v>-2795399.9321094966</v>
      </c>
    </row>
    <row r="3" spans="1:10" x14ac:dyDescent="0.3">
      <c r="A3">
        <v>1976</v>
      </c>
      <c r="B3">
        <f>unicount!B3/pop!B3*100000-pop!$K3</f>
        <v>-2799299.9237939846</v>
      </c>
      <c r="C3">
        <f>unicount!C3/pop!C3*100000-pop!$K3</f>
        <v>-2799299.942082834</v>
      </c>
      <c r="D3">
        <f>unicount!D3/pop!D3*100000-pop!$K3</f>
        <v>-2799299.8981307708</v>
      </c>
      <c r="E3">
        <f>unicount!E3/pop!E3*100000-pop!$K3</f>
        <v>-2799299.9222096484</v>
      </c>
      <c r="F3">
        <f>unicount!F3/pop!F3*100000-pop!$K3</f>
        <v>-2799299.9227941018</v>
      </c>
      <c r="G3">
        <f>unicount!G3/pop!G3*100000-pop!$K3</f>
        <v>-2799299.9385693385</v>
      </c>
      <c r="H3">
        <f>unicount!H3/pop!H3*100000-pop!$K3</f>
        <v>-2799299.9556330452</v>
      </c>
      <c r="I3">
        <f>unicount!I3/pop!I3*100000-pop!$K3</f>
        <v>-2799299.9039349044</v>
      </c>
      <c r="J3">
        <f>unicount!J3/pop!J3*100000-pop!$K3</f>
        <v>-2799299.9320184826</v>
      </c>
    </row>
    <row r="4" spans="1:10" x14ac:dyDescent="0.3">
      <c r="A4">
        <v>1977</v>
      </c>
      <c r="B4">
        <f>unicount!B4/pop!B4*100000-pop!$K4</f>
        <v>-2800599.9237929354</v>
      </c>
      <c r="C4">
        <f>unicount!C4/pop!C4*100000-pop!$K4</f>
        <v>-2800599.9420841094</v>
      </c>
      <c r="D4">
        <f>unicount!D4/pop!D4*100000-pop!$K4</f>
        <v>-2800599.8981263237</v>
      </c>
      <c r="E4">
        <f>unicount!E4/pop!E4*100000-pop!$K4</f>
        <v>-2800599.9221856832</v>
      </c>
      <c r="F4">
        <f>unicount!F4/pop!F4*100000-pop!$K4</f>
        <v>-2800599.9227891257</v>
      </c>
      <c r="G4">
        <f>unicount!G4/pop!G4*100000-pop!$K4</f>
        <v>-2800599.9385466147</v>
      </c>
      <c r="H4">
        <f>unicount!H4/pop!H4*100000-pop!$K4</f>
        <v>-2800599.955636648</v>
      </c>
      <c r="I4">
        <f>unicount!I4/pop!I4*100000-pop!$K4</f>
        <v>-2800599.9039052506</v>
      </c>
      <c r="J4">
        <f>unicount!J4/pop!J4*100000-pop!$K4</f>
        <v>-2800599.9319836749</v>
      </c>
    </row>
    <row r="5" spans="1:10" x14ac:dyDescent="0.3">
      <c r="A5">
        <v>1978</v>
      </c>
      <c r="B5">
        <f>unicount!B5/pop!B5*100000-pop!$K5</f>
        <v>-2804299.92375626</v>
      </c>
      <c r="C5">
        <f>unicount!C5/pop!C5*100000-pop!$K5</f>
        <v>-2804299.9420482744</v>
      </c>
      <c r="D5">
        <f>unicount!D5/pop!D5*100000-pop!$K5</f>
        <v>-2804299.8981071506</v>
      </c>
      <c r="E5">
        <f>unicount!E5/pop!E5*100000-pop!$K5</f>
        <v>-2804299.9221834978</v>
      </c>
      <c r="F5">
        <f>unicount!F5/pop!F5*100000-pop!$K5</f>
        <v>-2804299.9227743521</v>
      </c>
      <c r="G5">
        <f>unicount!G5/pop!G5*100000-pop!$K5</f>
        <v>-2804299.9385881769</v>
      </c>
      <c r="H5">
        <f>unicount!H5/pop!H5*100000-pop!$K5</f>
        <v>-2804299.955626423</v>
      </c>
      <c r="I5">
        <f>unicount!I5/pop!I5*100000-pop!$K5</f>
        <v>-2804299.9039459252</v>
      </c>
      <c r="J5">
        <f>unicount!J5/pop!J5*100000-pop!$K5</f>
        <v>-2804299.932024241</v>
      </c>
    </row>
    <row r="6" spans="1:10" x14ac:dyDescent="0.3">
      <c r="A6">
        <v>1979</v>
      </c>
      <c r="B6">
        <f>unicount!B6/pop!B6*100000-pop!$K6</f>
        <v>-2810099.9236893305</v>
      </c>
      <c r="C6">
        <f>unicount!C6/pop!C6*100000-pop!$K6</f>
        <v>-2810099.9419903364</v>
      </c>
      <c r="D6">
        <f>unicount!D6/pop!D6*100000-pop!$K6</f>
        <v>-2810099.8980646986</v>
      </c>
      <c r="E6">
        <f>unicount!E6/pop!E6*100000-pop!$K6</f>
        <v>-2810099.9222223694</v>
      </c>
      <c r="F6">
        <f>unicount!F6/pop!F6*100000-pop!$K6</f>
        <v>-2810099.9227605378</v>
      </c>
      <c r="G6">
        <f>unicount!G6/pop!G6*100000-pop!$K6</f>
        <v>-2810099.9386755116</v>
      </c>
      <c r="H6">
        <f>unicount!H6/pop!H6*100000-pop!$K6</f>
        <v>-2810099.9556197897</v>
      </c>
      <c r="I6">
        <f>unicount!I6/pop!I6*100000-pop!$K6</f>
        <v>-2810099.9041065737</v>
      </c>
      <c r="J6">
        <f>unicount!J6/pop!J6*100000-pop!$K6</f>
        <v>-2810099.9321543416</v>
      </c>
    </row>
    <row r="7" spans="1:10" x14ac:dyDescent="0.3">
      <c r="A7">
        <v>1980</v>
      </c>
      <c r="B7">
        <f>unicount!B7/pop!B7*100000-pop!$K7</f>
        <v>-2815799.9235961577</v>
      </c>
      <c r="C7">
        <f>unicount!C7/pop!C7*100000-pop!$K7</f>
        <v>-2815799.9419236518</v>
      </c>
      <c r="D7">
        <f>unicount!D7/pop!D7*100000-pop!$K7</f>
        <v>-2815799.8980113934</v>
      </c>
      <c r="E7">
        <f>unicount!E7/pop!E7*100000-pop!$K7</f>
        <v>-2815799.9223242411</v>
      </c>
      <c r="F7">
        <f>unicount!F7/pop!F7*100000-pop!$K7</f>
        <v>-2815799.9227675744</v>
      </c>
      <c r="G7">
        <f>unicount!G7/pop!G7*100000-pop!$K7</f>
        <v>-2815799.9388250769</v>
      </c>
      <c r="H7">
        <f>unicount!H7/pop!H7*100000-pop!$K7</f>
        <v>-2815799.9556276966</v>
      </c>
      <c r="I7">
        <f>unicount!I7/pop!I7*100000-pop!$K7</f>
        <v>-2815799.9043554375</v>
      </c>
      <c r="J7">
        <f>unicount!J7/pop!J7*100000-pop!$K7</f>
        <v>-2815799.9323652852</v>
      </c>
    </row>
    <row r="8" spans="1:10" x14ac:dyDescent="0.3">
      <c r="A8">
        <v>1981</v>
      </c>
      <c r="B8">
        <f>unicount!B8/pop!B8*100000-pop!$K8</f>
        <v>-2813499.9241330493</v>
      </c>
      <c r="C8">
        <f>unicount!C8/pop!C8*100000-pop!$K8</f>
        <v>-2813499.9423658033</v>
      </c>
      <c r="D8">
        <f>unicount!D8/pop!D8*100000-pop!$K8</f>
        <v>-2813499.898343652</v>
      </c>
      <c r="E8">
        <f>unicount!E8/pop!E8*100000-pop!$K8</f>
        <v>-2813499.9221321871</v>
      </c>
      <c r="F8">
        <f>unicount!F8/pop!F8*100000-pop!$K8</f>
        <v>-2813499.9228787958</v>
      </c>
      <c r="G8">
        <f>unicount!G8/pop!G8*100000-pop!$K8</f>
        <v>-2813499.9382079314</v>
      </c>
      <c r="H8">
        <f>unicount!H8/pop!H8*100000-pop!$K8</f>
        <v>-2813499.9556546528</v>
      </c>
      <c r="I8">
        <f>unicount!I8/pop!I8*100000-pop!$K8</f>
        <v>-2813499.9033556972</v>
      </c>
      <c r="J8">
        <f>unicount!J8/pop!J8*100000-pop!$K8</f>
        <v>-2813499.9315597266</v>
      </c>
    </row>
    <row r="9" spans="1:10" x14ac:dyDescent="0.3">
      <c r="A9">
        <v>1982</v>
      </c>
      <c r="B9">
        <f>unicount!B9/pop!B9*100000-pop!$K9</f>
        <v>-2804299.9237876907</v>
      </c>
      <c r="C9">
        <f>unicount!C9/pop!C9*100000-pop!$K9</f>
        <v>-2804299.9420904871</v>
      </c>
      <c r="D9">
        <f>unicount!D9/pop!D9*100000-pop!$K9</f>
        <v>-2804299.8981040837</v>
      </c>
      <c r="E9">
        <f>unicount!E9/pop!E9*100000-pop!$K9</f>
        <v>-2804299.9220656347</v>
      </c>
      <c r="F9">
        <f>unicount!F9/pop!F9*100000-pop!$K9</f>
        <v>-2804299.922764237</v>
      </c>
      <c r="G9">
        <f>unicount!G9/pop!G9*100000-pop!$K9</f>
        <v>-2804299.9384327438</v>
      </c>
      <c r="H9">
        <f>unicount!H9/pop!H9*100000-pop!$K9</f>
        <v>-2804299.9556546528</v>
      </c>
      <c r="I9">
        <f>unicount!I9/pop!I9*100000-pop!$K9</f>
        <v>-2804299.9037567056</v>
      </c>
      <c r="J9">
        <f>unicount!J9/pop!J9*100000-pop!$K9</f>
        <v>-2804299.9318090999</v>
      </c>
    </row>
    <row r="10" spans="1:10" x14ac:dyDescent="0.3">
      <c r="A10">
        <v>1983</v>
      </c>
      <c r="B10">
        <f>unicount!B10/pop!B10*100000-pop!$K10</f>
        <v>-2803299.9235723508</v>
      </c>
      <c r="C10">
        <f>unicount!C10/pop!C10*100000-pop!$K10</f>
        <v>-2803299.9418684328</v>
      </c>
      <c r="D10">
        <f>unicount!D10/pop!D10*100000-pop!$K10</f>
        <v>-2803299.8980111773</v>
      </c>
      <c r="E10">
        <f>unicount!E10/pop!E10*100000-pop!$K10</f>
        <v>-2803299.9221725683</v>
      </c>
      <c r="F10">
        <f>unicount!F10/pop!F10*100000-pop!$K10</f>
        <v>-2803299.9227003995</v>
      </c>
      <c r="G10">
        <f>unicount!G10/pop!G10*100000-pop!$K10</f>
        <v>-2803299.9387951456</v>
      </c>
      <c r="H10">
        <f>unicount!H10/pop!H10*100000-pop!$K10</f>
        <v>-2803299.9555752273</v>
      </c>
      <c r="I10">
        <f>unicount!I10/pop!I10*100000-pop!$K10</f>
        <v>-2803299.8904557521</v>
      </c>
      <c r="J10">
        <f>unicount!J10/pop!J10*100000-pop!$K10</f>
        <v>-2803299.9322263487</v>
      </c>
    </row>
    <row r="11" spans="1:10" x14ac:dyDescent="0.3">
      <c r="A11">
        <v>1984</v>
      </c>
      <c r="B11">
        <f>unicount!B11/pop!B11*100000-pop!$K11</f>
        <v>-2800699.9233529116</v>
      </c>
      <c r="C11">
        <f>unicount!C11/pop!C11*100000-pop!$K11</f>
        <v>-2800699.9416989</v>
      </c>
      <c r="D11">
        <f>unicount!D11/pop!D11*100000-pop!$K11</f>
        <v>-2800699.8978519072</v>
      </c>
      <c r="E11">
        <f>unicount!E11/pop!E11*100000-pop!$K11</f>
        <v>-2800699.9224161473</v>
      </c>
      <c r="F11">
        <f>unicount!F11/pop!F11*100000-pop!$K11</f>
        <v>-2800699.9226913908</v>
      </c>
      <c r="G11">
        <f>unicount!G11/pop!G11*100000-pop!$K11</f>
        <v>-2800699.9391084872</v>
      </c>
      <c r="H11">
        <f>unicount!H11/pop!H11*100000-pop!$K11</f>
        <v>-2800699.9555865922</v>
      </c>
      <c r="I11">
        <f>unicount!I11/pop!I11*100000-pop!$K11</f>
        <v>-2800699.8913163678</v>
      </c>
      <c r="J11">
        <f>unicount!J11/pop!J11*100000-pop!$K11</f>
        <v>-2800699.9327974454</v>
      </c>
    </row>
    <row r="12" spans="1:10" x14ac:dyDescent="0.3">
      <c r="A12">
        <v>1985</v>
      </c>
      <c r="B12">
        <f>unicount!B12/pop!B12*100000-pop!$K12</f>
        <v>-2803399.923126861</v>
      </c>
      <c r="C12">
        <f>unicount!C12/pop!C12*100000-pop!$K12</f>
        <v>-2803399.9415879152</v>
      </c>
      <c r="D12">
        <f>unicount!D12/pop!D12*100000-pop!$K12</f>
        <v>-2803399.8977440288</v>
      </c>
      <c r="E12">
        <f>unicount!E12/pop!E12*100000-pop!$K12</f>
        <v>-2803399.9228296215</v>
      </c>
      <c r="F12">
        <f>unicount!F12/pop!F12*100000-pop!$K12</f>
        <v>-2803399.9228027393</v>
      </c>
      <c r="G12">
        <f>unicount!G12/pop!G12*100000-pop!$K12</f>
        <v>-2803399.9395620911</v>
      </c>
      <c r="H12">
        <f>unicount!H12/pop!H12*100000-pop!$K12</f>
        <v>-2803399.9556671889</v>
      </c>
      <c r="I12">
        <f>unicount!I12/pop!I12*100000-pop!$K12</f>
        <v>-2803399.8920921483</v>
      </c>
      <c r="J12">
        <f>unicount!J12/pop!J12*100000-pop!$K12</f>
        <v>-2803399.9334006282</v>
      </c>
    </row>
    <row r="13" spans="1:10" x14ac:dyDescent="0.3">
      <c r="A13">
        <v>1986</v>
      </c>
      <c r="B13">
        <f>unicount!B13/pop!B13*100000-pop!$K13</f>
        <v>-2810899.9229053282</v>
      </c>
      <c r="C13">
        <f>unicount!C13/pop!C13*100000-pop!$K13</f>
        <v>-2810899.9414578173</v>
      </c>
      <c r="D13">
        <f>unicount!D13/pop!D13*100000-pop!$K13</f>
        <v>-2810899.8976172251</v>
      </c>
      <c r="E13">
        <f>unicount!E13/pop!E13*100000-pop!$K13</f>
        <v>-2810899.9232306783</v>
      </c>
      <c r="F13">
        <f>unicount!F13/pop!F13*100000-pop!$K13</f>
        <v>-2810899.9227791773</v>
      </c>
      <c r="G13">
        <f>unicount!G13/pop!G13*100000-pop!$K13</f>
        <v>-2810899.9399912148</v>
      </c>
      <c r="H13">
        <f>unicount!H13/pop!H13*100000-pop!$K13</f>
        <v>-2810899.9557143408</v>
      </c>
      <c r="I13">
        <f>unicount!I13/pop!I13*100000-pop!$K13</f>
        <v>-2810899.8928801734</v>
      </c>
      <c r="J13">
        <f>unicount!J13/pop!J13*100000-pop!$K13</f>
        <v>-2810899.9340313259</v>
      </c>
    </row>
    <row r="14" spans="1:10" x14ac:dyDescent="0.3">
      <c r="A14">
        <v>1987</v>
      </c>
      <c r="B14">
        <f>unicount!B14/pop!B14*100000-pop!$K14</f>
        <v>-2822599.9227733333</v>
      </c>
      <c r="C14">
        <f>unicount!C14/pop!C14*100000-pop!$K14</f>
        <v>-2822599.9413547092</v>
      </c>
      <c r="D14">
        <f>unicount!D14/pop!D14*100000-pop!$K14</f>
        <v>-2822599.897523134</v>
      </c>
      <c r="E14">
        <f>unicount!E14/pop!E14*100000-pop!$K14</f>
        <v>-2822599.9235725841</v>
      </c>
      <c r="F14">
        <f>unicount!F14/pop!F14*100000-pop!$K14</f>
        <v>-2822599.9229965135</v>
      </c>
      <c r="G14">
        <f>unicount!G14/pop!G14*100000-pop!$K14</f>
        <v>-2822599.9403668512</v>
      </c>
      <c r="H14">
        <f>unicount!H14/pop!H14*100000-pop!$K14</f>
        <v>-2822599.9556577532</v>
      </c>
      <c r="I14">
        <f>unicount!I14/pop!I14*100000-pop!$K14</f>
        <v>-2822599.8934049653</v>
      </c>
      <c r="J14">
        <f>unicount!J14/pop!J14*100000-pop!$K14</f>
        <v>-2822599.9346348834</v>
      </c>
    </row>
    <row r="15" spans="1:10" x14ac:dyDescent="0.3">
      <c r="A15">
        <v>1988</v>
      </c>
      <c r="B15">
        <f>unicount!B15/pop!B15*100000-pop!$K15</f>
        <v>-2841199.9225492151</v>
      </c>
      <c r="C15">
        <f>unicount!C15/pop!C15*100000-pop!$K15</f>
        <v>-2841199.9412770076</v>
      </c>
      <c r="D15">
        <f>unicount!D15/pop!D15*100000-pop!$K15</f>
        <v>-2841199.8977235514</v>
      </c>
      <c r="E15">
        <f>unicount!E15/pop!E15*100000-pop!$K15</f>
        <v>-2841199.9240642437</v>
      </c>
      <c r="F15">
        <f>unicount!F15/pop!F15*100000-pop!$K15</f>
        <v>-2841199.923136123</v>
      </c>
      <c r="G15">
        <f>unicount!G15/pop!G15*100000-pop!$K15</f>
        <v>-2841199.9407078885</v>
      </c>
      <c r="H15">
        <f>unicount!H15/pop!H15*100000-pop!$K15</f>
        <v>-2841199.9554190785</v>
      </c>
      <c r="I15">
        <f>unicount!I15/pop!I15*100000-pop!$K15</f>
        <v>-2841199.8940475094</v>
      </c>
      <c r="J15">
        <f>unicount!J15/pop!J15*100000-pop!$K15</f>
        <v>-2841199.93528075</v>
      </c>
    </row>
    <row r="16" spans="1:10" x14ac:dyDescent="0.3">
      <c r="A16">
        <v>1989</v>
      </c>
      <c r="B16">
        <f>unicount!B16/pop!B16*100000-pop!$K16</f>
        <v>-2855199.9225440859</v>
      </c>
      <c r="C16">
        <f>unicount!C16/pop!C16*100000-pop!$K16</f>
        <v>-2855199.9413896054</v>
      </c>
      <c r="D16">
        <f>unicount!D16/pop!D16*100000-pop!$K16</f>
        <v>-2855199.8982160115</v>
      </c>
      <c r="E16">
        <f>unicount!E16/pop!E16*100000-pop!$K16</f>
        <v>-2855199.9245487829</v>
      </c>
      <c r="F16">
        <f>unicount!F16/pop!F16*100000-pop!$K16</f>
        <v>-2855199.9232776552</v>
      </c>
      <c r="G16">
        <f>unicount!G16/pop!G16*100000-pop!$K16</f>
        <v>-2855199.9408299546</v>
      </c>
      <c r="H16">
        <f>unicount!H16/pop!H16*100000-pop!$K16</f>
        <v>-2855199.9555658381</v>
      </c>
      <c r="I16">
        <f>unicount!I16/pop!I16*100000-pop!$K16</f>
        <v>-2855199.894299129</v>
      </c>
      <c r="J16">
        <f>unicount!J16/pop!J16*100000-pop!$K16</f>
        <v>-2855199.9355329215</v>
      </c>
    </row>
    <row r="17" spans="1:10" x14ac:dyDescent="0.3">
      <c r="A17">
        <v>1990</v>
      </c>
      <c r="B17">
        <f>unicount!B17/pop!B17*100000-pop!$K17</f>
        <v>-2861499.9226102033</v>
      </c>
      <c r="C17">
        <f>unicount!C17/pop!C17*100000-pop!$K17</f>
        <v>-2861499.9414296411</v>
      </c>
      <c r="D17">
        <f>unicount!D17/pop!D17*100000-pop!$K17</f>
        <v>-2861499.8983952133</v>
      </c>
      <c r="E17">
        <f>unicount!E17/pop!E17*100000-pop!$K17</f>
        <v>-2861499.9248680682</v>
      </c>
      <c r="F17">
        <f>unicount!F17/pop!F17*100000-pop!$K17</f>
        <v>-2861499.9233482261</v>
      </c>
      <c r="G17">
        <f>unicount!G17/pop!G17*100000-pop!$K17</f>
        <v>-2861499.9410372954</v>
      </c>
      <c r="H17">
        <f>unicount!H17/pop!H17*100000-pop!$K17</f>
        <v>-2861499.9558744752</v>
      </c>
      <c r="I17">
        <f>unicount!I17/pop!I17*100000-pop!$K17</f>
        <v>-2861499.8947099238</v>
      </c>
      <c r="J17">
        <f>unicount!J17/pop!J17*100000-pop!$K17</f>
        <v>-2861499.9357352499</v>
      </c>
    </row>
    <row r="18" spans="1:10" x14ac:dyDescent="0.3">
      <c r="A18">
        <v>1991</v>
      </c>
      <c r="B18">
        <f>unicount!B18/pop!B18*100000-pop!$K18</f>
        <v>-2872999.9226899566</v>
      </c>
      <c r="C18">
        <f>unicount!C18/pop!C18*100000-pop!$K18</f>
        <v>-2872999.9415464387</v>
      </c>
      <c r="D18">
        <f>unicount!D18/pop!D18*100000-pop!$K18</f>
        <v>-2872999.8987054559</v>
      </c>
      <c r="E18">
        <f>unicount!E18/pop!E18*100000-pop!$K18</f>
        <v>-2872999.9252133477</v>
      </c>
      <c r="F18">
        <f>unicount!F18/pop!F18*100000-pop!$K18</f>
        <v>-2872999.9235137627</v>
      </c>
      <c r="G18">
        <f>unicount!G18/pop!G18*100000-pop!$K18</f>
        <v>-2872999.9414182869</v>
      </c>
      <c r="H18">
        <f>unicount!H18/pop!H18*100000-pop!$K18</f>
        <v>-2872999.9560717228</v>
      </c>
      <c r="I18">
        <f>unicount!I18/pop!I18*100000-pop!$K18</f>
        <v>-2872999.895139534</v>
      </c>
      <c r="J18">
        <f>unicount!J18/pop!J18*100000-pop!$K18</f>
        <v>-2872999.9360102112</v>
      </c>
    </row>
    <row r="19" spans="1:10" x14ac:dyDescent="0.3">
      <c r="A19">
        <v>1992</v>
      </c>
      <c r="B19">
        <f>unicount!B19/pop!B19*100000-pop!$K19</f>
        <v>-2877699.8070491133</v>
      </c>
      <c r="C19">
        <f>unicount!C19/pop!C19*100000-pop!$K19</f>
        <v>-2877699.8976762122</v>
      </c>
      <c r="D19">
        <f>unicount!D19/pop!D19*100000-pop!$K19</f>
        <v>-2877699.8181462926</v>
      </c>
      <c r="E19">
        <f>unicount!E19/pop!E19*100000-pop!$K19</f>
        <v>-2877699.8513634065</v>
      </c>
      <c r="F19">
        <f>unicount!F19/pop!F19*100000-pop!$K19</f>
        <v>-2877699.8472517245</v>
      </c>
      <c r="G19">
        <f>unicount!G19/pop!G19*100000-pop!$K19</f>
        <v>-2877699.9027727083</v>
      </c>
      <c r="H19">
        <f>unicount!H19/pop!H19*100000-pop!$K19</f>
        <v>-2877699.8389318665</v>
      </c>
      <c r="I19">
        <f>unicount!I19/pop!I19*100000-pop!$K19</f>
        <v>-2877699.8563329857</v>
      </c>
      <c r="J19">
        <f>unicount!J19/pop!J19*100000-pop!$K19</f>
        <v>-2877699.8727174257</v>
      </c>
    </row>
    <row r="20" spans="1:10" x14ac:dyDescent="0.3">
      <c r="A20">
        <v>1993</v>
      </c>
      <c r="B20">
        <f>unicount!B20/pop!B20*100000-pop!$K20</f>
        <v>-2883599.8072436303</v>
      </c>
      <c r="C20">
        <f>unicount!C20/pop!C20*100000-pop!$K20</f>
        <v>-2883599.8977615624</v>
      </c>
      <c r="D20">
        <f>unicount!D20/pop!D20*100000-pop!$K20</f>
        <v>-2883599.8183338307</v>
      </c>
      <c r="E20">
        <f>unicount!E20/pop!E20*100000-pop!$K20</f>
        <v>-2883599.8520671031</v>
      </c>
      <c r="F20">
        <f>unicount!F20/pop!F20*100000-pop!$K20</f>
        <v>-2883599.8475008244</v>
      </c>
      <c r="G20">
        <f>unicount!G20/pop!G20*100000-pop!$K20</f>
        <v>-2883599.8835938987</v>
      </c>
      <c r="H20">
        <f>unicount!H20/pop!H20*100000-pop!$K20</f>
        <v>-2883599.8246765174</v>
      </c>
      <c r="I20">
        <f>unicount!I20/pop!I20*100000-pop!$K20</f>
        <v>-2883599.8566433801</v>
      </c>
      <c r="J20">
        <f>unicount!J20/pop!J20*100000-pop!$K20</f>
        <v>-2883599.8732474879</v>
      </c>
    </row>
    <row r="21" spans="1:10" x14ac:dyDescent="0.3">
      <c r="A21">
        <v>1994</v>
      </c>
      <c r="B21">
        <f>unicount!B21/pop!B21*100000-pop!$K21</f>
        <v>-2887399.8068499505</v>
      </c>
      <c r="C21">
        <f>unicount!C21/pop!C21*100000-pop!$K21</f>
        <v>-2887399.8830221919</v>
      </c>
      <c r="D21">
        <f>unicount!D21/pop!D21*100000-pop!$K21</f>
        <v>-2887399.8185515697</v>
      </c>
      <c r="E21">
        <f>unicount!E21/pop!E21*100000-pop!$K21</f>
        <v>-2887399.8526421268</v>
      </c>
      <c r="F21">
        <f>unicount!F21/pop!F21*100000-pop!$K21</f>
        <v>-2887399.8475985825</v>
      </c>
      <c r="G21">
        <f>unicount!G21/pop!G21*100000-pop!$K21</f>
        <v>-2887399.8841232425</v>
      </c>
      <c r="H21">
        <f>unicount!H21/pop!H21*100000-pop!$K21</f>
        <v>-2887399.8254171405</v>
      </c>
      <c r="I21">
        <f>unicount!I21/pop!I21*100000-pop!$K21</f>
        <v>-2887399.8573576356</v>
      </c>
      <c r="J21">
        <f>unicount!J21/pop!J21*100000-pop!$K21</f>
        <v>-2887399.8738721544</v>
      </c>
    </row>
    <row r="22" spans="1:10" x14ac:dyDescent="0.3">
      <c r="A22">
        <v>1995</v>
      </c>
      <c r="B22">
        <f>unicount!B22/pop!B22*100000-pop!$K22</f>
        <v>-2888499.8064052751</v>
      </c>
      <c r="C22">
        <f>unicount!C22/pop!C22*100000-pop!$K22</f>
        <v>-2888499.8828343539</v>
      </c>
      <c r="D22">
        <f>unicount!D22/pop!D22*100000-pop!$K22</f>
        <v>-2888499.8185694199</v>
      </c>
      <c r="E22">
        <f>unicount!E22/pop!E22*100000-pop!$K22</f>
        <v>-2888499.8533603572</v>
      </c>
      <c r="F22">
        <f>unicount!F22/pop!F22*100000-pop!$K22</f>
        <v>-2888499.8478193753</v>
      </c>
      <c r="G22">
        <f>unicount!G22/pop!G22*100000-pop!$K22</f>
        <v>-2888499.8847417254</v>
      </c>
      <c r="H22">
        <f>unicount!H22/pop!H22*100000-pop!$K22</f>
        <v>-2888499.8264170913</v>
      </c>
      <c r="I22">
        <f>unicount!I22/pop!I22*100000-pop!$K22</f>
        <v>-2888499.8583018011</v>
      </c>
      <c r="J22">
        <f>unicount!J22/pop!J22*100000-pop!$K22</f>
        <v>-2888499.8745257072</v>
      </c>
    </row>
    <row r="23" spans="1:10" x14ac:dyDescent="0.3">
      <c r="A23">
        <v>1996</v>
      </c>
      <c r="B23">
        <f>unicount!B23/pop!B23*100000-pop!$K23</f>
        <v>-2891299.8059345223</v>
      </c>
      <c r="C23">
        <f>unicount!C23/pop!C23*100000-pop!$K23</f>
        <v>-2891299.8825195907</v>
      </c>
      <c r="D23">
        <f>unicount!D23/pop!D23*100000-pop!$K23</f>
        <v>-2891299.8185942504</v>
      </c>
      <c r="E23">
        <f>unicount!E23/pop!E23*100000-pop!$K23</f>
        <v>-2891299.8539460134</v>
      </c>
      <c r="F23">
        <f>unicount!F23/pop!F23*100000-pop!$K23</f>
        <v>-2891299.8479967685</v>
      </c>
      <c r="G23">
        <f>unicount!G23/pop!G23*100000-pop!$K23</f>
        <v>-2891299.8853377569</v>
      </c>
      <c r="H23">
        <f>unicount!H23/pop!H23*100000-pop!$K23</f>
        <v>-2891299.8279423611</v>
      </c>
      <c r="I23">
        <f>unicount!I23/pop!I23*100000-pop!$K23</f>
        <v>-2891299.8589816992</v>
      </c>
      <c r="J23">
        <f>unicount!J23/pop!J23*100000-pop!$K23</f>
        <v>-2891299.8748197928</v>
      </c>
    </row>
    <row r="24" spans="1:10" x14ac:dyDescent="0.3">
      <c r="A24">
        <v>1997</v>
      </c>
      <c r="B24">
        <f>unicount!B24/pop!B24*100000-pop!$K24</f>
        <v>-2894899.8053009543</v>
      </c>
      <c r="C24">
        <f>unicount!C24/pop!C24*100000-pop!$K24</f>
        <v>-2894899.8822555942</v>
      </c>
      <c r="D24">
        <f>unicount!D24/pop!D24*100000-pop!$K24</f>
        <v>-2894899.8184591173</v>
      </c>
      <c r="E24">
        <f>unicount!E24/pop!E24*100000-pop!$K24</f>
        <v>-2894899.8543802425</v>
      </c>
      <c r="F24">
        <f>unicount!F24/pop!F24*100000-pop!$K24</f>
        <v>-2894899.8479745844</v>
      </c>
      <c r="G24">
        <f>unicount!G24/pop!G24*100000-pop!$K24</f>
        <v>-2894899.8860813207</v>
      </c>
      <c r="H24">
        <f>unicount!H24/pop!H24*100000-pop!$K24</f>
        <v>-2894899.8289340395</v>
      </c>
      <c r="I24">
        <f>unicount!I24/pop!I24*100000-pop!$K24</f>
        <v>-2894899.8599279621</v>
      </c>
      <c r="J24">
        <f>unicount!J24/pop!J24*100000-pop!$K24</f>
        <v>-2894899.8757074061</v>
      </c>
    </row>
    <row r="25" spans="1:10" x14ac:dyDescent="0.3">
      <c r="A25">
        <v>1998</v>
      </c>
      <c r="B25">
        <f>unicount!B25/pop!B25*100000-pop!$K25</f>
        <v>-2899499.8047548444</v>
      </c>
      <c r="C25">
        <f>unicount!C25/pop!C25*100000-pop!$K25</f>
        <v>-2899499.88221737</v>
      </c>
      <c r="D25">
        <f>unicount!D25/pop!D25*100000-pop!$K25</f>
        <v>-2899499.8184643169</v>
      </c>
      <c r="E25">
        <f>unicount!E25/pop!E25*100000-pop!$K25</f>
        <v>-2899499.8548145317</v>
      </c>
      <c r="F25">
        <f>unicount!F25/pop!F25*100000-pop!$K25</f>
        <v>-2899499.8482362777</v>
      </c>
      <c r="G25">
        <f>unicount!G25/pop!G25*100000-pop!$K25</f>
        <v>-2899499.8868357544</v>
      </c>
      <c r="H25">
        <f>unicount!H25/pop!H25*100000-pop!$K25</f>
        <v>-2899499.8301605675</v>
      </c>
      <c r="I25">
        <f>unicount!I25/pop!I25*100000-pop!$K25</f>
        <v>-2899499.860562481</v>
      </c>
      <c r="J25">
        <f>unicount!J25/pop!J25*100000-pop!$K25</f>
        <v>-2899499.8762749862</v>
      </c>
    </row>
    <row r="26" spans="1:10" x14ac:dyDescent="0.3">
      <c r="A26">
        <v>1999</v>
      </c>
      <c r="B26">
        <f>unicount!B26/pop!B26*100000-pop!$K26</f>
        <v>-2900599.8039457104</v>
      </c>
      <c r="C26">
        <f>unicount!C26/pop!C26*100000-pop!$K26</f>
        <v>-2900599.8818859565</v>
      </c>
      <c r="D26">
        <f>unicount!D26/pop!D26*100000-pop!$K26</f>
        <v>-2900599.8184138448</v>
      </c>
      <c r="E26">
        <f>unicount!E26/pop!E26*100000-pop!$K26</f>
        <v>-2900599.8555067461</v>
      </c>
      <c r="F26">
        <f>unicount!F26/pop!F26*100000-pop!$K26</f>
        <v>-2900599.8482537516</v>
      </c>
      <c r="G26">
        <f>unicount!G26/pop!G26*100000-pop!$K26</f>
        <v>-2900599.8876135526</v>
      </c>
      <c r="H26">
        <f>unicount!H26/pop!H26*100000-pop!$K26</f>
        <v>-2900599.8322596084</v>
      </c>
      <c r="I26">
        <f>unicount!I26/pop!I26*100000-pop!$K26</f>
        <v>-2900599.8617243427</v>
      </c>
      <c r="J26">
        <f>unicount!J26/pop!J26*100000-pop!$K26</f>
        <v>-2900599.8770733122</v>
      </c>
    </row>
    <row r="27" spans="1:10" x14ac:dyDescent="0.3">
      <c r="A27">
        <v>2000</v>
      </c>
      <c r="B27">
        <f>unicount!B27/pop!B27*100000-pop!$K27</f>
        <v>-2906899.8034143778</v>
      </c>
      <c r="C27">
        <f>unicount!C27/pop!C27*100000-pop!$K27</f>
        <v>-2906899.8819052754</v>
      </c>
      <c r="D27">
        <f>unicount!D27/pop!D27*100000-pop!$K27</f>
        <v>-2906899.8184974859</v>
      </c>
      <c r="E27">
        <f>unicount!E27/pop!E27*100000-pop!$K27</f>
        <v>-2906899.8560486902</v>
      </c>
      <c r="F27">
        <f>unicount!F27/pop!F27*100000-pop!$K27</f>
        <v>-2906899.8481865698</v>
      </c>
      <c r="G27">
        <f>unicount!G27/pop!G27*100000-pop!$K27</f>
        <v>-2906899.8883715114</v>
      </c>
      <c r="H27">
        <f>unicount!H27/pop!H27*100000-pop!$K27</f>
        <v>-2906899.834178837</v>
      </c>
      <c r="I27">
        <f>unicount!I27/pop!I27*100000-pop!$K27</f>
        <v>-2906899.8623382128</v>
      </c>
      <c r="J27">
        <f>unicount!J27/pop!J27*100000-pop!$K27</f>
        <v>-2906899.8779762113</v>
      </c>
    </row>
    <row r="28" spans="1:10" x14ac:dyDescent="0.3">
      <c r="A28">
        <v>2001</v>
      </c>
      <c r="B28">
        <f>unicount!B28/pop!B28*100000-pop!$K28</f>
        <v>-2910199.8031565812</v>
      </c>
      <c r="C28">
        <f>unicount!C28/pop!C28*100000-pop!$K28</f>
        <v>-2910199.8818836892</v>
      </c>
      <c r="D28">
        <f>unicount!D28/pop!D28*100000-pop!$K28</f>
        <v>-2910199.8392490679</v>
      </c>
      <c r="E28">
        <f>unicount!E28/pop!E28*100000-pop!$K28</f>
        <v>-2910199.832920488</v>
      </c>
      <c r="F28">
        <f>unicount!F28/pop!F28*100000-pop!$K28</f>
        <v>-2910199.8485057075</v>
      </c>
      <c r="G28">
        <f>unicount!G28/pop!G28*100000-pop!$K28</f>
        <v>-2910199.888898415</v>
      </c>
      <c r="H28">
        <f>unicount!H28/pop!H28*100000-pop!$K28</f>
        <v>-2910199.8361193724</v>
      </c>
      <c r="I28">
        <f>unicount!I28/pop!I28*100000-pop!$K28</f>
        <v>-2910199.862901852</v>
      </c>
      <c r="J28">
        <f>unicount!J28/pop!J28*100000-pop!$K28</f>
        <v>-2910199.8583960235</v>
      </c>
    </row>
    <row r="29" spans="1:10" x14ac:dyDescent="0.3">
      <c r="A29">
        <v>2002</v>
      </c>
      <c r="B29">
        <f>unicount!B29/pop!B29*100000-pop!$K29</f>
        <v>-2922899.8031960954</v>
      </c>
      <c r="C29">
        <f>unicount!C29/pop!C29*100000-pop!$K29</f>
        <v>-2922899.8820907664</v>
      </c>
      <c r="D29">
        <f>unicount!D29/pop!D29*100000-pop!$K29</f>
        <v>-2922899.8400035519</v>
      </c>
      <c r="E29">
        <f>unicount!E29/pop!E29*100000-pop!$K29</f>
        <v>-2922899.8341921</v>
      </c>
      <c r="F29">
        <f>unicount!F29/pop!F29*100000-pop!$K29</f>
        <v>-2922899.849091996</v>
      </c>
      <c r="G29">
        <f>unicount!G29/pop!G29*100000-pop!$K29</f>
        <v>-2922899.8895574347</v>
      </c>
      <c r="H29">
        <f>unicount!H29/pop!H29*100000-pop!$K29</f>
        <v>-2922899.8508812445</v>
      </c>
      <c r="I29">
        <f>unicount!I29/pop!I29*100000-pop!$K29</f>
        <v>-2922899.8632723745</v>
      </c>
      <c r="J29">
        <f>unicount!J29/pop!J29*100000-pop!$K29</f>
        <v>-2922899.8593284055</v>
      </c>
    </row>
    <row r="30" spans="1:10" x14ac:dyDescent="0.3">
      <c r="A30">
        <v>2003</v>
      </c>
      <c r="B30">
        <f>unicount!B30/pop!B30*100000-pop!$K30</f>
        <v>-2937699.8031853274</v>
      </c>
      <c r="C30">
        <f>unicount!C30/pop!C30*100000-pop!$K30</f>
        <v>-2937699.8826060286</v>
      </c>
      <c r="D30">
        <f>unicount!D30/pop!D30*100000-pop!$K30</f>
        <v>-2937699.8408376398</v>
      </c>
      <c r="E30">
        <f>unicount!E30/pop!E30*100000-pop!$K30</f>
        <v>-2937699.8354907548</v>
      </c>
      <c r="F30">
        <f>unicount!F30/pop!F30*100000-pop!$K30</f>
        <v>-2937699.8497786582</v>
      </c>
      <c r="G30">
        <f>unicount!G30/pop!G30*100000-pop!$K30</f>
        <v>-2937699.8903936022</v>
      </c>
      <c r="H30">
        <f>unicount!H30/pop!H30*100000-pop!$K30</f>
        <v>-2937699.851247164</v>
      </c>
      <c r="I30">
        <f>unicount!I30/pop!I30*100000-pop!$K30</f>
        <v>-2937699.8639947656</v>
      </c>
      <c r="J30">
        <f>unicount!J30/pop!J30*100000-pop!$K30</f>
        <v>-2937699.8601860367</v>
      </c>
    </row>
    <row r="31" spans="1:10" x14ac:dyDescent="0.3">
      <c r="A31">
        <v>2004</v>
      </c>
      <c r="B31">
        <f>unicount!B31/pop!B31*100000-pop!$K31</f>
        <v>-2957399.8031885037</v>
      </c>
      <c r="C31">
        <f>unicount!C31/pop!C31*100000-pop!$K31</f>
        <v>-2957399.883047245</v>
      </c>
      <c r="D31">
        <f>unicount!D31/pop!D31*100000-pop!$K31</f>
        <v>-2957399.8419971247</v>
      </c>
      <c r="E31">
        <f>unicount!E31/pop!E31*100000-pop!$K31</f>
        <v>-2957399.836885957</v>
      </c>
      <c r="F31">
        <f>unicount!F31/pop!F31*100000-pop!$K31</f>
        <v>-2957399.8503659302</v>
      </c>
      <c r="G31">
        <f>unicount!G31/pop!G31*100000-pop!$K31</f>
        <v>-2957399.8910786915</v>
      </c>
      <c r="H31">
        <f>unicount!H31/pop!H31*100000-pop!$K31</f>
        <v>-2957399.8250979115</v>
      </c>
      <c r="I31">
        <f>unicount!I31/pop!I31*100000-pop!$K31</f>
        <v>-2957399.8647502181</v>
      </c>
      <c r="J31">
        <f>unicount!J31/pop!J31*100000-pop!$K31</f>
        <v>-2957399.8610638068</v>
      </c>
    </row>
    <row r="32" spans="1:10" x14ac:dyDescent="0.3">
      <c r="A32">
        <v>2005</v>
      </c>
      <c r="B32">
        <f>unicount!B32/pop!B32*100000-pop!$K32</f>
        <v>-2969299.8037004042</v>
      </c>
      <c r="C32">
        <f>unicount!C32/pop!C32*100000-pop!$K32</f>
        <v>-2969299.8544400372</v>
      </c>
      <c r="D32">
        <f>unicount!D32/pop!D32*100000-pop!$K32</f>
        <v>-2969299.8433954376</v>
      </c>
      <c r="E32">
        <f>unicount!E32/pop!E32*100000-pop!$K32</f>
        <v>-2969299.8152045961</v>
      </c>
      <c r="F32">
        <f>unicount!F32/pop!F32*100000-pop!$K32</f>
        <v>-2969299.8327351133</v>
      </c>
      <c r="G32">
        <f>unicount!G32/pop!G32*100000-pop!$K32</f>
        <v>-2969299.8921377985</v>
      </c>
      <c r="H32">
        <f>unicount!H32/pop!H32*100000-pop!$K32</f>
        <v>-2969299.8271048754</v>
      </c>
      <c r="I32">
        <f>unicount!I32/pop!I32*100000-pop!$K32</f>
        <v>-2969299.8171377522</v>
      </c>
      <c r="J32">
        <f>unicount!J32/pop!J32*100000-pop!$K32</f>
        <v>-2969299.8427092079</v>
      </c>
    </row>
    <row r="33" spans="1:10" x14ac:dyDescent="0.3">
      <c r="A33">
        <v>2006</v>
      </c>
      <c r="B33">
        <f>unicount!B33/pop!B33*100000-pop!$K33</f>
        <v>-2985699.8041188326</v>
      </c>
      <c r="C33">
        <f>unicount!C33/pop!C33*100000-pop!$K33</f>
        <v>-2985699.8406163221</v>
      </c>
      <c r="D33">
        <f>unicount!D33/pop!D33*100000-pop!$K33</f>
        <v>-2985699.8246986377</v>
      </c>
      <c r="E33">
        <f>unicount!E33/pop!E33*100000-pop!$K33</f>
        <v>-2985699.8167942846</v>
      </c>
      <c r="F33">
        <f>unicount!F33/pop!F33*100000-pop!$K33</f>
        <v>-2985699.8338110037</v>
      </c>
      <c r="G33">
        <f>unicount!G33/pop!G33*100000-pop!$K33</f>
        <v>-2985699.8751403335</v>
      </c>
      <c r="H33">
        <f>unicount!H33/pop!H33*100000-pop!$K33</f>
        <v>-2985699.8288984019</v>
      </c>
      <c r="I33">
        <f>unicount!I33/pop!I33*100000-pop!$K33</f>
        <v>-2985699.8186404053</v>
      </c>
      <c r="J33">
        <f>unicount!J33/pop!J33*100000-pop!$K33</f>
        <v>-2985699.8437451171</v>
      </c>
    </row>
    <row r="34" spans="1:10" x14ac:dyDescent="0.3">
      <c r="A34">
        <v>2007</v>
      </c>
      <c r="B34">
        <f>unicount!B34/pop!B34*100000-pop!$K34</f>
        <v>-3006299.8048433964</v>
      </c>
      <c r="C34">
        <f>unicount!C34/pop!C34*100000-pop!$K34</f>
        <v>-3006299.8268217593</v>
      </c>
      <c r="D34">
        <f>unicount!D34/pop!D34*100000-pop!$K34</f>
        <v>-3006299.8257211563</v>
      </c>
      <c r="E34">
        <f>unicount!E34/pop!E34*100000-pop!$K34</f>
        <v>-3006299.8183788769</v>
      </c>
      <c r="F34">
        <f>unicount!F34/pop!F34*100000-pop!$K34</f>
        <v>-3006299.8349206629</v>
      </c>
      <c r="G34">
        <f>unicount!G34/pop!G34*100000-pop!$K34</f>
        <v>-3006299.8761836402</v>
      </c>
      <c r="H34">
        <f>unicount!H34/pop!H34*100000-pop!$K34</f>
        <v>-3006299.8180275671</v>
      </c>
      <c r="I34">
        <f>unicount!I34/pop!I34*100000-pop!$K34</f>
        <v>-3006299.8084151489</v>
      </c>
      <c r="J34">
        <f>unicount!J34/pop!J34*100000-pop!$K34</f>
        <v>-3006299.8452771925</v>
      </c>
    </row>
    <row r="35" spans="1:10" x14ac:dyDescent="0.3">
      <c r="A35">
        <v>2008</v>
      </c>
      <c r="B35">
        <f>unicount!B35/pop!B35*100000-pop!$K35</f>
        <v>-3025899.8053953745</v>
      </c>
      <c r="C35">
        <f>unicount!C35/pop!C35*100000-pop!$K35</f>
        <v>-3025899.8275502054</v>
      </c>
      <c r="D35">
        <f>unicount!D35/pop!D35*100000-pop!$K35</f>
        <v>-3025899.8268789644</v>
      </c>
      <c r="E35">
        <f>unicount!E35/pop!E35*100000-pop!$K35</f>
        <v>-3025899.8198654619</v>
      </c>
      <c r="F35">
        <f>unicount!F35/pop!F35*100000-pop!$K35</f>
        <v>-3025899.8362516919</v>
      </c>
      <c r="G35">
        <f>unicount!G35/pop!G35*100000-pop!$K35</f>
        <v>-3025899.8773726206</v>
      </c>
      <c r="H35">
        <f>unicount!H35/pop!H35*100000-pop!$K35</f>
        <v>-3025899.8207922238</v>
      </c>
      <c r="I35">
        <f>unicount!I35/pop!I35*100000-pop!$K35</f>
        <v>-3025899.7982530855</v>
      </c>
      <c r="J35">
        <f>unicount!J35/pop!J35*100000-pop!$K35</f>
        <v>-3025899.8463029321</v>
      </c>
    </row>
    <row r="36" spans="1:10" x14ac:dyDescent="0.3">
      <c r="A36">
        <v>2009</v>
      </c>
      <c r="B36">
        <f>unicount!B36/pop!B36*100000-pop!$K36</f>
        <v>-3038899.8058584919</v>
      </c>
      <c r="C36">
        <f>unicount!C36/pop!C36*100000-pop!$K36</f>
        <v>-3038899.8282317198</v>
      </c>
      <c r="D36">
        <f>unicount!D36/pop!D36*100000-pop!$K36</f>
        <v>-3038899.8276965865</v>
      </c>
      <c r="E36">
        <f>unicount!E36/pop!E36*100000-pop!$K36</f>
        <v>-3038899.8210952417</v>
      </c>
      <c r="F36">
        <f>unicount!F36/pop!F36*100000-pop!$K36</f>
        <v>-3038899.8371926807</v>
      </c>
      <c r="G36">
        <f>unicount!G36/pop!G36*100000-pop!$K36</f>
        <v>-3038899.8782914132</v>
      </c>
      <c r="H36">
        <f>unicount!H36/pop!H36*100000-pop!$K36</f>
        <v>-3038899.8237351677</v>
      </c>
      <c r="I36">
        <f>unicount!I36/pop!I36*100000-pop!$K36</f>
        <v>-3038899.7997861714</v>
      </c>
      <c r="J36">
        <f>unicount!J36/pop!J36*100000-pop!$K36</f>
        <v>-3038899.8469432951</v>
      </c>
    </row>
    <row r="37" spans="1:10" x14ac:dyDescent="0.3">
      <c r="A37">
        <v>2010</v>
      </c>
      <c r="B37">
        <f>unicount!B37/pop!B37*100000-pop!$K37</f>
        <v>-3049999.8067160752</v>
      </c>
      <c r="C37">
        <f>unicount!C37/pop!C37*100000-pop!$K37</f>
        <v>-3049999.8290579054</v>
      </c>
      <c r="D37">
        <f>unicount!D37/pop!D37*100000-pop!$K37</f>
        <v>-3049999.828727629</v>
      </c>
      <c r="E37">
        <f>unicount!E37/pop!E37*100000-pop!$K37</f>
        <v>-3049999.8225011323</v>
      </c>
      <c r="F37">
        <f>unicount!F37/pop!F37*100000-pop!$K37</f>
        <v>-3049999.8383000954</v>
      </c>
      <c r="G37">
        <f>unicount!G37/pop!G37*100000-pop!$K37</f>
        <v>-3049999.8794641737</v>
      </c>
      <c r="H37">
        <f>unicount!H37/pop!H37*100000-pop!$K37</f>
        <v>-3049999.8263349417</v>
      </c>
      <c r="I37">
        <f>unicount!I37/pop!I37*100000-pop!$K37</f>
        <v>-3049999.8018133151</v>
      </c>
      <c r="J37">
        <f>unicount!J37/pop!J37*100000-pop!$K37</f>
        <v>-3049999.8479454583</v>
      </c>
    </row>
    <row r="38" spans="1:10" x14ac:dyDescent="0.3">
      <c r="A38">
        <v>2011</v>
      </c>
      <c r="B38">
        <f>unicount!B38/pop!B38*100000-pop!$K38</f>
        <v>-3063799.8074287074</v>
      </c>
      <c r="C38">
        <f>unicount!C38/pop!C38*100000-pop!$K38</f>
        <v>-3063799.8299310328</v>
      </c>
      <c r="D38">
        <f>unicount!D38/pop!D38*100000-pop!$K38</f>
        <v>-3063799.8298101514</v>
      </c>
      <c r="E38">
        <f>unicount!E38/pop!E38*100000-pop!$K38</f>
        <v>-3063799.8236894393</v>
      </c>
      <c r="F38">
        <f>unicount!F38/pop!F38*100000-pop!$K38</f>
        <v>-3063799.8395340638</v>
      </c>
      <c r="G38">
        <f>unicount!G38/pop!G38*100000-pop!$K38</f>
        <v>-3063799.8805953446</v>
      </c>
      <c r="H38">
        <f>unicount!H38/pop!H38*100000-pop!$K38</f>
        <v>-3063799.8293600013</v>
      </c>
      <c r="I38">
        <f>unicount!I38/pop!I38*100000-pop!$K38</f>
        <v>-3063799.8035314414</v>
      </c>
      <c r="J38">
        <f>unicount!J38/pop!J38*100000-pop!$K38</f>
        <v>-3063799.8490802669</v>
      </c>
    </row>
    <row r="39" spans="1:10" x14ac:dyDescent="0.3">
      <c r="A39">
        <v>2012</v>
      </c>
      <c r="B39">
        <f>unicount!B39/pop!B39*100000-pop!$K39</f>
        <v>-3070899.8076162422</v>
      </c>
      <c r="C39">
        <f>unicount!C39/pop!C39*100000-pop!$K39</f>
        <v>-3070899.8304927689</v>
      </c>
      <c r="D39">
        <f>unicount!D39/pop!D39*100000-pop!$K39</f>
        <v>-3070899.8117996356</v>
      </c>
      <c r="E39">
        <f>unicount!E39/pop!E39*100000-pop!$K39</f>
        <v>-3070899.8030937044</v>
      </c>
      <c r="F39">
        <f>unicount!F39/pop!F39*100000-pop!$K39</f>
        <v>-3070899.7872463022</v>
      </c>
      <c r="G39">
        <f>unicount!G39/pop!G39*100000-pop!$K39</f>
        <v>-3070899.8647513883</v>
      </c>
      <c r="H39">
        <f>unicount!H39/pop!H39*100000-pop!$K39</f>
        <v>-3070899.8317462802</v>
      </c>
      <c r="I39">
        <f>unicount!I39/pop!I39*100000-pop!$K39</f>
        <v>-3070899.7938578809</v>
      </c>
      <c r="J39">
        <f>unicount!J39/pop!J39*100000-pop!$K39</f>
        <v>-3070899.7938663238</v>
      </c>
    </row>
    <row r="40" spans="1:10" x14ac:dyDescent="0.3">
      <c r="A40">
        <v>2013</v>
      </c>
      <c r="B40">
        <f>unicount!B40/pop!B40*100000-pop!$K40</f>
        <v>-3071099.8079360072</v>
      </c>
      <c r="C40">
        <f>unicount!C40/pop!C40*100000-pop!$K40</f>
        <v>-3071099.8311083261</v>
      </c>
      <c r="D40">
        <f>unicount!D40/pop!D40*100000-pop!$K40</f>
        <v>-3071099.8125618077</v>
      </c>
      <c r="E40">
        <f>unicount!E40/pop!E40*100000-pop!$K40</f>
        <v>-3071099.8045419245</v>
      </c>
      <c r="F40">
        <f>unicount!F40/pop!F40*100000-pop!$K40</f>
        <v>-3071099.7886187024</v>
      </c>
      <c r="G40">
        <f>unicount!G40/pop!G40*100000-pop!$K40</f>
        <v>-3071099.8660075129</v>
      </c>
      <c r="H40">
        <f>unicount!H40/pop!H40*100000-pop!$K40</f>
        <v>-3071099.8104037843</v>
      </c>
      <c r="I40">
        <f>unicount!I40/pop!I40*100000-pop!$K40</f>
        <v>-3071099.7956723864</v>
      </c>
      <c r="J40">
        <f>unicount!J40/pop!J40*100000-pop!$K40</f>
        <v>-3071099.7767351726</v>
      </c>
    </row>
    <row r="41" spans="1:10" x14ac:dyDescent="0.3">
      <c r="A41">
        <v>2014</v>
      </c>
      <c r="B41">
        <f>unicount!B41/pop!B41*100000-pop!$K41</f>
        <v>-3073799.8084644903</v>
      </c>
      <c r="C41">
        <f>unicount!C41/pop!C41*100000-pop!$K41</f>
        <v>-3073799.8319585677</v>
      </c>
      <c r="D41">
        <f>unicount!D41/pop!D41*100000-pop!$K41</f>
        <v>-3073799.8133084211</v>
      </c>
      <c r="E41">
        <f>unicount!E41/pop!E41*100000-pop!$K41</f>
        <v>-3073799.8061443204</v>
      </c>
      <c r="F41">
        <f>unicount!F41/pop!F41*100000-pop!$K41</f>
        <v>-3073799.7900953703</v>
      </c>
      <c r="G41">
        <f>unicount!G41/pop!G41*100000-pop!$K41</f>
        <v>-3073799.8675391641</v>
      </c>
      <c r="H41">
        <f>unicount!H41/pop!H41*100000-pop!$K41</f>
        <v>-3073799.801104269</v>
      </c>
      <c r="I41">
        <f>unicount!I41/pop!I41*100000-pop!$K41</f>
        <v>-3073799.7976147779</v>
      </c>
      <c r="J41">
        <f>unicount!J41/pop!J41*100000-pop!$K41</f>
        <v>-3073799.7786859442</v>
      </c>
    </row>
    <row r="42" spans="1:10" x14ac:dyDescent="0.3">
      <c r="A42">
        <v>2015</v>
      </c>
      <c r="B42">
        <f>unicount!B42/pop!B42*100000-pop!$K42</f>
        <v>-3072699.8085614387</v>
      </c>
      <c r="C42">
        <f>unicount!C42/pop!C42*100000-pop!$K42</f>
        <v>-3072699.832930766</v>
      </c>
      <c r="D42">
        <f>unicount!D42/pop!D42*100000-pop!$K42</f>
        <v>-3072699.8140352089</v>
      </c>
      <c r="E42">
        <f>unicount!E42/pop!E42*100000-pop!$K42</f>
        <v>-3072699.8077596738</v>
      </c>
      <c r="F42">
        <f>unicount!F42/pop!F42*100000-pop!$K42</f>
        <v>-3072699.7741599749</v>
      </c>
      <c r="G42">
        <f>unicount!G42/pop!G42*100000-pop!$K42</f>
        <v>-3072699.8688150821</v>
      </c>
      <c r="H42">
        <f>unicount!H42/pop!H42*100000-pop!$K42</f>
        <v>-3072699.8036848358</v>
      </c>
      <c r="I42">
        <f>unicount!I42/pop!I42*100000-pop!$K42</f>
        <v>-3072699.7993230051</v>
      </c>
      <c r="J42">
        <f>unicount!J42/pop!J42*100000-pop!$K42</f>
        <v>-3072699.7806811933</v>
      </c>
    </row>
    <row r="43" spans="1:10" x14ac:dyDescent="0.3">
      <c r="A43">
        <v>2016</v>
      </c>
      <c r="B43">
        <f>unicount!B43/pop!B43*100000-pop!$K43</f>
        <v>-3077199.8090329696</v>
      </c>
      <c r="C43">
        <f>unicount!C43/pop!C43*100000-pop!$K43</f>
        <v>-3077199.8341199043</v>
      </c>
      <c r="D43">
        <f>unicount!D43/pop!D43*100000-pop!$K43</f>
        <v>-3077199.8150907406</v>
      </c>
      <c r="E43">
        <f>unicount!E43/pop!E43*100000-pop!$K43</f>
        <v>-3077199.8097901032</v>
      </c>
      <c r="F43">
        <f>unicount!F43/pop!F43*100000-pop!$K43</f>
        <v>-3077199.7763343891</v>
      </c>
      <c r="G43">
        <f>unicount!G43/pop!G43*100000-pop!$K43</f>
        <v>-3077199.8539215964</v>
      </c>
      <c r="H43">
        <f>unicount!H43/pop!H43*100000-pop!$K43</f>
        <v>-3077199.8170100795</v>
      </c>
      <c r="I43">
        <f>unicount!I43/pop!I43*100000-pop!$K43</f>
        <v>-3077199.801171124</v>
      </c>
      <c r="J43">
        <f>unicount!J43/pop!J43*100000-pop!$K43</f>
        <v>-3077199.7828833167</v>
      </c>
    </row>
    <row r="44" spans="1:10" x14ac:dyDescent="0.3">
      <c r="A44">
        <v>2017</v>
      </c>
      <c r="B44">
        <f>unicount!B44/pop!B44*100000-pop!$K44</f>
        <v>-3081399.8094357508</v>
      </c>
      <c r="C44">
        <f>unicount!C44/pop!C44*100000-pop!$K44</f>
        <v>-3081399.8350688899</v>
      </c>
      <c r="D44">
        <f>unicount!D44/pop!D44*100000-pop!$K44</f>
        <v>-3081399.7973390245</v>
      </c>
      <c r="E44">
        <f>unicount!E44/pop!E44*100000-pop!$K44</f>
        <v>-3081399.8116503074</v>
      </c>
      <c r="F44">
        <f>unicount!F44/pop!F44*100000-pop!$K44</f>
        <v>-3081399.777969521</v>
      </c>
      <c r="G44">
        <f>unicount!G44/pop!G44*100000-pop!$K44</f>
        <v>-3081399.8549052426</v>
      </c>
      <c r="H44">
        <f>unicount!H44/pop!H44*100000-pop!$K44</f>
        <v>-3081399.8176893517</v>
      </c>
      <c r="I44">
        <f>unicount!I44/pop!I44*100000-pop!$K44</f>
        <v>-3081399.8023080751</v>
      </c>
      <c r="J44">
        <f>unicount!J44/pop!J44*100000-pop!$K44</f>
        <v>-3081399.7847404671</v>
      </c>
    </row>
    <row r="45" spans="1:10" x14ac:dyDescent="0.3">
      <c r="A45">
        <v>2018</v>
      </c>
      <c r="B45">
        <f>unicount!B45/pop!B45*100000-pop!$K45</f>
        <v>-3083799.8098420436</v>
      </c>
      <c r="C45">
        <f>unicount!C45/pop!C45*100000-pop!$K45</f>
        <v>-3083799.8359785439</v>
      </c>
      <c r="D45">
        <f>unicount!D45/pop!D45*100000-pop!$K45</f>
        <v>-3083799.7979383464</v>
      </c>
      <c r="E45">
        <f>unicount!E45/pop!E45*100000-pop!$K45</f>
        <v>-3083799.8130899738</v>
      </c>
      <c r="F45">
        <f>unicount!F45/pop!F45*100000-pop!$K45</f>
        <v>-3083799.7792617427</v>
      </c>
      <c r="G45">
        <f>unicount!G45/pop!G45*100000-pop!$K45</f>
        <v>-3083799.8557085544</v>
      </c>
      <c r="H45">
        <f>unicount!H45/pop!H45*100000-pop!$K45</f>
        <v>-3083799.8075472061</v>
      </c>
      <c r="I45">
        <f>unicount!I45/pop!I45*100000-pop!$K45</f>
        <v>-3083799.8032839559</v>
      </c>
      <c r="J45">
        <f>unicount!J45/pop!J45*100000-pop!$K45</f>
        <v>-3083799.7682585935</v>
      </c>
    </row>
    <row r="46" spans="1:10" x14ac:dyDescent="0.3">
      <c r="A46">
        <v>2019</v>
      </c>
      <c r="B46">
        <f>unicount!B46/pop!B46*100000-pop!$K46</f>
        <v>-3087699.810367296</v>
      </c>
      <c r="C46">
        <f>unicount!C46/pop!C46*100000-pop!$K46</f>
        <v>-3087699.8370288624</v>
      </c>
      <c r="D46">
        <f>unicount!D46/pop!D46*100000-pop!$K46</f>
        <v>-3087699.798706267</v>
      </c>
      <c r="E46">
        <f>unicount!E46/pop!E46*100000-pop!$K46</f>
        <v>-3087699.8142031762</v>
      </c>
      <c r="F46">
        <f>unicount!F46/pop!F46*100000-pop!$K46</f>
        <v>-3087699.7804416399</v>
      </c>
      <c r="G46">
        <f>unicount!G46/pop!G46*100000-pop!$K46</f>
        <v>-3087699.8565549371</v>
      </c>
      <c r="H46">
        <f>unicount!H46/pop!H46*100000-pop!$K46</f>
        <v>-3087699.7975194557</v>
      </c>
      <c r="I46">
        <f>unicount!I46/pop!I46*100000-pop!$K46</f>
        <v>-3087699.8042152459</v>
      </c>
      <c r="J46">
        <f>unicount!J46/pop!J46*100000-pop!$K46</f>
        <v>-3087699.7696175934</v>
      </c>
    </row>
    <row r="47" spans="1:10" x14ac:dyDescent="0.3">
      <c r="A47">
        <v>2020</v>
      </c>
      <c r="B47">
        <f>unicount!B47/pop!B47*100000-pop!$K47</f>
        <v>-3104499.8104212214</v>
      </c>
      <c r="C47">
        <f>unicount!C47/pop!C47*100000-pop!$K47</f>
        <v>-3104499.8374117026</v>
      </c>
      <c r="D47">
        <f>unicount!D47/pop!D47*100000-pop!$K47</f>
        <v>-3104499.798847469</v>
      </c>
      <c r="E47">
        <f>unicount!E47/pop!E47*100000-pop!$K47</f>
        <v>-3104499.8146420047</v>
      </c>
      <c r="F47">
        <f>unicount!F47/pop!F47*100000-pop!$K47</f>
        <v>-3104499.7808468211</v>
      </c>
      <c r="G47">
        <f>unicount!G47/pop!G47*100000-pop!$K47</f>
        <v>-3104499.8570924764</v>
      </c>
      <c r="H47">
        <f>unicount!H47/pop!H47*100000-pop!$K47</f>
        <v>-3104499.7970002959</v>
      </c>
      <c r="I47">
        <f>unicount!I47/pop!I47*100000-pop!$K47</f>
        <v>-3104499.8048838228</v>
      </c>
      <c r="J47">
        <f>unicount!J47/pop!J47*100000-pop!$K47</f>
        <v>-3104499.7703987467</v>
      </c>
    </row>
    <row r="48" spans="1:10" x14ac:dyDescent="0.3">
      <c r="A48">
        <v>2021</v>
      </c>
      <c r="B48">
        <f>unicount!B48/pop!B48*100000-pop!$K48</f>
        <v>-3105599.8111420879</v>
      </c>
      <c r="C48">
        <f>unicount!C48/pop!C48*100000-pop!$K48</f>
        <v>-3105599.8383640721</v>
      </c>
      <c r="D48">
        <f>unicount!D48/pop!D48*100000-pop!$K48</f>
        <v>-3105599.7993599582</v>
      </c>
      <c r="E48">
        <f>unicount!E48/pop!E48*100000-pop!$K48</f>
        <v>-3105599.8156326697</v>
      </c>
      <c r="F48">
        <f>unicount!F48/pop!F48*100000-pop!$K48</f>
        <v>-3105599.7817409881</v>
      </c>
      <c r="G48">
        <f>unicount!G48/pop!G48*100000-pop!$K48</f>
        <v>-3105599.8582598148</v>
      </c>
      <c r="H48">
        <f>unicount!H48/pop!H48*100000-pop!$K48</f>
        <v>-3105599.7955653351</v>
      </c>
      <c r="I48">
        <f>unicount!I48/pop!I48*100000-pop!$K48</f>
        <v>-3105599.8063647687</v>
      </c>
      <c r="J48">
        <f>unicount!J48/pop!J48*100000-pop!$K48</f>
        <v>-3105599.7724417108</v>
      </c>
    </row>
    <row r="49" spans="1:11" x14ac:dyDescent="0.3">
      <c r="A49">
        <v>2022</v>
      </c>
      <c r="B49">
        <f>unicount!B49/pop!B49*100000-pop!$K49</f>
        <v>-3134199.8135767574</v>
      </c>
      <c r="C49">
        <f>unicount!C49/pop!C49*100000-pop!$K49</f>
        <v>-3134199.8403346161</v>
      </c>
      <c r="D49">
        <f>unicount!D49/pop!D49*100000-pop!$K49</f>
        <v>-3134199.8013799759</v>
      </c>
      <c r="E49">
        <f>unicount!E49/pop!E49*100000-pop!$K49</f>
        <v>-3134199.8176229708</v>
      </c>
      <c r="F49">
        <f>unicount!F49/pop!F49*100000-pop!$K49</f>
        <v>-3134199.7839464215</v>
      </c>
      <c r="G49">
        <f>unicount!G49/pop!G49*100000-pop!$K49</f>
        <v>-3134199.8594061504</v>
      </c>
      <c r="H49">
        <f>unicount!H49/pop!H49*100000-pop!$K49</f>
        <v>-3134199.7632213533</v>
      </c>
      <c r="I49">
        <f>unicount!I49/pop!I49*100000-pop!$K49</f>
        <v>-3134199.7869458757</v>
      </c>
      <c r="J49">
        <f>unicount!J49/pop!J49*100000-pop!$K49</f>
        <v>-3134199.7572368141</v>
      </c>
    </row>
    <row r="50" spans="1:11" x14ac:dyDescent="0.3">
      <c r="A50">
        <v>2023</v>
      </c>
      <c r="B50">
        <f>unicount!B50/pop!B50*100000-pop!$K50</f>
        <v>-3167299.8155920603</v>
      </c>
      <c r="C50">
        <f>unicount!C50/pop!C50*100000-pop!$K50</f>
        <v>-3167299.8421078809</v>
      </c>
      <c r="D50">
        <f>unicount!D50/pop!D50*100000-pop!$K50</f>
        <v>-3167299.8033651374</v>
      </c>
      <c r="E50">
        <f>unicount!E50/pop!E50*100000-pop!$K50</f>
        <v>-3167299.8196849898</v>
      </c>
      <c r="F50">
        <f>unicount!F50/pop!F50*100000-pop!$K50</f>
        <v>-3167299.7863840186</v>
      </c>
      <c r="G50">
        <f>unicount!G50/pop!G50*100000-pop!$K50</f>
        <v>-3167299.8608677369</v>
      </c>
      <c r="H50">
        <f>unicount!H50/pop!H50*100000-pop!$K50</f>
        <v>-3167299.686986777</v>
      </c>
      <c r="I50">
        <f>unicount!I50/pop!I50*100000-pop!$K50</f>
        <v>-3167299.7890853127</v>
      </c>
      <c r="J50">
        <f>unicount!J50/pop!J50*100000-pop!$K50</f>
        <v>-3167299.7590883491</v>
      </c>
    </row>
    <row r="51" spans="1:11" x14ac:dyDescent="0.3">
      <c r="A51">
        <v>2024</v>
      </c>
      <c r="B51">
        <f>unicount!B51/pop!B51*100000-pop!$K51</f>
        <v>-3186599.8188850712</v>
      </c>
      <c r="C51">
        <f>unicount!C51/pop!C51*100000-pop!$K51</f>
        <v>-3186599.844909423</v>
      </c>
      <c r="D51">
        <f>unicount!D51/pop!D51*100000-pop!$K51</f>
        <v>-3186599.8060977669</v>
      </c>
      <c r="E51">
        <f>unicount!E51/pop!E51*100000-pop!$K51</f>
        <v>-3186599.8222455364</v>
      </c>
      <c r="F51">
        <f>unicount!F51/pop!F51*100000-pop!$K51</f>
        <v>-3186599.7898889384</v>
      </c>
      <c r="G51">
        <f>unicount!G51/pop!G51*100000-pop!$K51</f>
        <v>-3186599.8631450543</v>
      </c>
      <c r="H51">
        <f>unicount!H51/pop!H51*100000-pop!$K51</f>
        <v>-3186599.6919602505</v>
      </c>
      <c r="I51">
        <f>unicount!I51/pop!I51*100000-pop!$K51</f>
        <v>-3186599.7925944179</v>
      </c>
      <c r="J51">
        <f>unicount!J51/pop!J51*100000-pop!$K51</f>
        <v>-3186599.7453178815</v>
      </c>
    </row>
    <row r="52" spans="1:11" x14ac:dyDescent="0.3">
      <c r="A52">
        <v>2025</v>
      </c>
      <c r="B52">
        <f>unicount!B52/pop!B52*100000-pop!$K52</f>
        <v>-3206017.4270193507</v>
      </c>
      <c r="C52">
        <f>unicount!C52/pop!C52*100000-pop!$K52</f>
        <v>-3206017.4525613296</v>
      </c>
      <c r="D52">
        <f>unicount!D52/pop!D52*100000-pop!$K52</f>
        <v>-3206017.4136924939</v>
      </c>
      <c r="E52">
        <f>unicount!E52/pop!E52*100000-pop!$K52</f>
        <v>-3206017.4296697956</v>
      </c>
      <c r="F52">
        <f>unicount!F52/pop!F52*100000-pop!$K52</f>
        <v>-3206017.3982364237</v>
      </c>
      <c r="G52">
        <f>unicount!G52/pop!G52*100000-pop!$K52</f>
        <v>-3206017.4702851693</v>
      </c>
      <c r="H52">
        <f>unicount!H52/pop!H52*100000-pop!$K52</f>
        <v>-3206017.3017547731</v>
      </c>
      <c r="I52">
        <f>unicount!I52/pop!I52*100000-pop!$K52</f>
        <v>-3206017.4009452127</v>
      </c>
      <c r="J52">
        <f>unicount!J52/pop!J52*100000-pop!$K52</f>
        <v>-3206017.353609683</v>
      </c>
      <c r="K52">
        <f>SUM(B52:J52)</f>
        <v>-28854156.647774227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unemp</vt:lpstr>
      <vt:lpstr>unemp_devi</vt:lpstr>
      <vt:lpstr>unemp_avg</vt:lpstr>
      <vt:lpstr>earn</vt:lpstr>
      <vt:lpstr>rKaitz</vt:lpstr>
      <vt:lpstr>CPI</vt:lpstr>
      <vt:lpstr>earn_devi</vt:lpstr>
      <vt:lpstr>earn_avg</vt:lpstr>
      <vt:lpstr>home_bachfee</vt:lpstr>
      <vt:lpstr>unicount</vt:lpstr>
      <vt:lpstr>pop</vt:lpstr>
      <vt:lpstr>uniperpop</vt:lpstr>
      <vt:lpstr>uniperkm</vt:lpstr>
      <vt:lpstr>uniweight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Pham, Tri T (PG/T - Economics)</dc:creator>
  <cp:lastModifiedBy>Pham, Tri (PG/T - Economics)</cp:lastModifiedBy>
  <dcterms:created xsi:type="dcterms:W3CDTF">2026-06-22T08:09:32Z</dcterms:created>
  <dcterms:modified xsi:type="dcterms:W3CDTF">2026-08-12T08:28:09Z</dcterms:modified>
</cp:coreProperties>
</file>