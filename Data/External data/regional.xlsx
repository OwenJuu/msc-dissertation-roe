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01040\Downloads\msc-dissertation-roe\Data\External data\"/>
    </mc:Choice>
  </mc:AlternateContent>
  <xr:revisionPtr revIDLastSave="0" documentId="13_ncr:1_{8AB06B95-DFEB-4421-BFE9-BDCD353A0296}" xr6:coauthVersionLast="47" xr6:coauthVersionMax="47" xr10:uidLastSave="{00000000-0000-0000-0000-000000000000}"/>
  <bookViews>
    <workbookView xWindow="-108" yWindow="-108" windowWidth="23256" windowHeight="12456" activeTab="5" xr2:uid="{E95ECF71-7DAD-423F-8E26-C2DE2F4FDBF2}"/>
  </bookViews>
  <sheets>
    <sheet name="unemp" sheetId="2" r:id="rId1"/>
    <sheet name="unemp_devi" sheetId="5" state="hidden" r:id="rId2"/>
    <sheet name="unemp_avg" sheetId="11" r:id="rId3"/>
    <sheet name="home_bachfee" sheetId="12" r:id="rId4"/>
    <sheet name="earn" sheetId="13" r:id="rId5"/>
    <sheet name="earn_avg" sheetId="10" r:id="rId6"/>
    <sheet name="unicount" sheetId="1" r:id="rId7"/>
    <sheet name="pop" sheetId="6" state="hidden" r:id="rId8"/>
    <sheet name="uniperpop" sheetId="7" state="hidden" r:id="rId9"/>
    <sheet name="uniperkm" sheetId="9" state="hidden" r:id="rId10"/>
    <sheet name="uniweight" sheetId="8" state="hidden" r:id="rId11"/>
    <sheet name="CPI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2" i="9"/>
  <c r="B2" i="7"/>
  <c r="B3" i="7"/>
  <c r="C3" i="7"/>
  <c r="D3" i="7"/>
  <c r="E3" i="7"/>
  <c r="F3" i="7"/>
  <c r="G3" i="7"/>
  <c r="H3" i="7"/>
  <c r="I3" i="7"/>
  <c r="B4" i="7"/>
  <c r="C4" i="7"/>
  <c r="D4" i="7"/>
  <c r="E4" i="7"/>
  <c r="F4" i="7"/>
  <c r="G4" i="7"/>
  <c r="H4" i="7"/>
  <c r="I4" i="7"/>
  <c r="B5" i="7"/>
  <c r="C5" i="7"/>
  <c r="D5" i="7"/>
  <c r="E5" i="7"/>
  <c r="F5" i="7"/>
  <c r="G5" i="7"/>
  <c r="H5" i="7"/>
  <c r="I5" i="7"/>
  <c r="B6" i="7"/>
  <c r="C6" i="7"/>
  <c r="D6" i="7"/>
  <c r="E6" i="7"/>
  <c r="F6" i="7"/>
  <c r="G6" i="7"/>
  <c r="H6" i="7"/>
  <c r="I6" i="7"/>
  <c r="B7" i="7"/>
  <c r="C7" i="7"/>
  <c r="D7" i="7"/>
  <c r="E7" i="7"/>
  <c r="F7" i="7"/>
  <c r="G7" i="7"/>
  <c r="H7" i="7"/>
  <c r="I7" i="7"/>
  <c r="B8" i="7"/>
  <c r="C8" i="7"/>
  <c r="D8" i="7"/>
  <c r="E8" i="7"/>
  <c r="F8" i="7"/>
  <c r="G8" i="7"/>
  <c r="H8" i="7"/>
  <c r="I8" i="7"/>
  <c r="B9" i="7"/>
  <c r="C9" i="7"/>
  <c r="D9" i="7"/>
  <c r="E9" i="7"/>
  <c r="F9" i="7"/>
  <c r="G9" i="7"/>
  <c r="H9" i="7"/>
  <c r="I9" i="7"/>
  <c r="B10" i="7"/>
  <c r="C10" i="7"/>
  <c r="D10" i="7"/>
  <c r="E10" i="7"/>
  <c r="F10" i="7"/>
  <c r="G10" i="7"/>
  <c r="H10" i="7"/>
  <c r="I10" i="7"/>
  <c r="B11" i="7"/>
  <c r="C11" i="7"/>
  <c r="D11" i="7"/>
  <c r="E11" i="7"/>
  <c r="F11" i="7"/>
  <c r="G11" i="7"/>
  <c r="H11" i="7"/>
  <c r="I11" i="7"/>
  <c r="B12" i="7"/>
  <c r="C12" i="7"/>
  <c r="D12" i="7"/>
  <c r="E12" i="7"/>
  <c r="F12" i="7"/>
  <c r="G12" i="7"/>
  <c r="H12" i="7"/>
  <c r="I12" i="7"/>
  <c r="B13" i="7"/>
  <c r="C13" i="7"/>
  <c r="D13" i="7"/>
  <c r="E13" i="7"/>
  <c r="F13" i="7"/>
  <c r="G13" i="7"/>
  <c r="H13" i="7"/>
  <c r="I13" i="7"/>
  <c r="B14" i="7"/>
  <c r="C14" i="7"/>
  <c r="D14" i="7"/>
  <c r="E14" i="7"/>
  <c r="F14" i="7"/>
  <c r="G14" i="7"/>
  <c r="H14" i="7"/>
  <c r="I14" i="7"/>
  <c r="B15" i="7"/>
  <c r="C15" i="7"/>
  <c r="D15" i="7"/>
  <c r="E15" i="7"/>
  <c r="F15" i="7"/>
  <c r="G15" i="7"/>
  <c r="H15" i="7"/>
  <c r="I15" i="7"/>
  <c r="B16" i="7"/>
  <c r="C16" i="7"/>
  <c r="D16" i="7"/>
  <c r="E16" i="7"/>
  <c r="F16" i="7"/>
  <c r="G16" i="7"/>
  <c r="H16" i="7"/>
  <c r="I16" i="7"/>
  <c r="B17" i="7"/>
  <c r="C17" i="7"/>
  <c r="D17" i="7"/>
  <c r="E17" i="7"/>
  <c r="F17" i="7"/>
  <c r="G17" i="7"/>
  <c r="H17" i="7"/>
  <c r="I17" i="7"/>
  <c r="B18" i="7"/>
  <c r="C18" i="7"/>
  <c r="D18" i="7"/>
  <c r="E18" i="7"/>
  <c r="F18" i="7"/>
  <c r="G18" i="7"/>
  <c r="H18" i="7"/>
  <c r="I18" i="7"/>
  <c r="B19" i="7"/>
  <c r="C19" i="7"/>
  <c r="D19" i="7"/>
  <c r="E19" i="7"/>
  <c r="F19" i="7"/>
  <c r="G19" i="7"/>
  <c r="H19" i="7"/>
  <c r="I19" i="7"/>
  <c r="B20" i="7"/>
  <c r="C20" i="7"/>
  <c r="D20" i="7"/>
  <c r="E20" i="7"/>
  <c r="F20" i="7"/>
  <c r="G20" i="7"/>
  <c r="H20" i="7"/>
  <c r="I20" i="7"/>
  <c r="B21" i="7"/>
  <c r="C21" i="7"/>
  <c r="D21" i="7"/>
  <c r="E21" i="7"/>
  <c r="F21" i="7"/>
  <c r="G21" i="7"/>
  <c r="H21" i="7"/>
  <c r="I21" i="7"/>
  <c r="B22" i="7"/>
  <c r="C22" i="7"/>
  <c r="D22" i="7"/>
  <c r="E22" i="7"/>
  <c r="F22" i="7"/>
  <c r="G22" i="7"/>
  <c r="H22" i="7"/>
  <c r="I22" i="7"/>
  <c r="B23" i="7"/>
  <c r="C23" i="7"/>
  <c r="D23" i="7"/>
  <c r="E23" i="7"/>
  <c r="F23" i="7"/>
  <c r="G23" i="7"/>
  <c r="H23" i="7"/>
  <c r="I23" i="7"/>
  <c r="B24" i="7"/>
  <c r="C24" i="7"/>
  <c r="D24" i="7"/>
  <c r="E24" i="7"/>
  <c r="F24" i="7"/>
  <c r="G24" i="7"/>
  <c r="H24" i="7"/>
  <c r="I24" i="7"/>
  <c r="B25" i="7"/>
  <c r="C25" i="7"/>
  <c r="D25" i="7"/>
  <c r="E25" i="7"/>
  <c r="F25" i="7"/>
  <c r="G25" i="7"/>
  <c r="H25" i="7"/>
  <c r="I25" i="7"/>
  <c r="B26" i="7"/>
  <c r="C26" i="7"/>
  <c r="D26" i="7"/>
  <c r="E26" i="7"/>
  <c r="F26" i="7"/>
  <c r="G26" i="7"/>
  <c r="H26" i="7"/>
  <c r="I26" i="7"/>
  <c r="B27" i="7"/>
  <c r="C27" i="7"/>
  <c r="D27" i="7"/>
  <c r="E27" i="7"/>
  <c r="F27" i="7"/>
  <c r="G27" i="7"/>
  <c r="H27" i="7"/>
  <c r="I27" i="7"/>
  <c r="B28" i="7"/>
  <c r="C28" i="7"/>
  <c r="D28" i="7"/>
  <c r="E28" i="7"/>
  <c r="F28" i="7"/>
  <c r="G28" i="7"/>
  <c r="H28" i="7"/>
  <c r="I28" i="7"/>
  <c r="B29" i="7"/>
  <c r="C29" i="7"/>
  <c r="D29" i="7"/>
  <c r="E29" i="7"/>
  <c r="F29" i="7"/>
  <c r="G29" i="7"/>
  <c r="H29" i="7"/>
  <c r="I29" i="7"/>
  <c r="B30" i="7"/>
  <c r="C30" i="7"/>
  <c r="D30" i="7"/>
  <c r="E30" i="7"/>
  <c r="F30" i="7"/>
  <c r="G30" i="7"/>
  <c r="H30" i="7"/>
  <c r="I30" i="7"/>
  <c r="B31" i="7"/>
  <c r="C31" i="7"/>
  <c r="D31" i="7"/>
  <c r="E31" i="7"/>
  <c r="F31" i="7"/>
  <c r="G31" i="7"/>
  <c r="H31" i="7"/>
  <c r="I31" i="7"/>
  <c r="B32" i="7"/>
  <c r="C32" i="7"/>
  <c r="D32" i="7"/>
  <c r="E32" i="7"/>
  <c r="F32" i="7"/>
  <c r="G32" i="7"/>
  <c r="H32" i="7"/>
  <c r="I32" i="7"/>
  <c r="B33" i="7"/>
  <c r="C33" i="7"/>
  <c r="D33" i="7"/>
  <c r="E33" i="7"/>
  <c r="F33" i="7"/>
  <c r="G33" i="7"/>
  <c r="H33" i="7"/>
  <c r="I33" i="7"/>
  <c r="B34" i="7"/>
  <c r="C34" i="7"/>
  <c r="D34" i="7"/>
  <c r="E34" i="7"/>
  <c r="F34" i="7"/>
  <c r="G34" i="7"/>
  <c r="H34" i="7"/>
  <c r="I34" i="7"/>
  <c r="B35" i="7"/>
  <c r="C35" i="7"/>
  <c r="D35" i="7"/>
  <c r="E35" i="7"/>
  <c r="F35" i="7"/>
  <c r="G35" i="7"/>
  <c r="H35" i="7"/>
  <c r="I35" i="7"/>
  <c r="B36" i="7"/>
  <c r="C36" i="7"/>
  <c r="D36" i="7"/>
  <c r="E36" i="7"/>
  <c r="F36" i="7"/>
  <c r="G36" i="7"/>
  <c r="H36" i="7"/>
  <c r="I36" i="7"/>
  <c r="B37" i="7"/>
  <c r="C37" i="7"/>
  <c r="D37" i="7"/>
  <c r="E37" i="7"/>
  <c r="F37" i="7"/>
  <c r="G37" i="7"/>
  <c r="H37" i="7"/>
  <c r="I37" i="7"/>
  <c r="B38" i="7"/>
  <c r="C38" i="7"/>
  <c r="D38" i="7"/>
  <c r="E38" i="7"/>
  <c r="F38" i="7"/>
  <c r="G38" i="7"/>
  <c r="H38" i="7"/>
  <c r="I38" i="7"/>
  <c r="B39" i="7"/>
  <c r="C39" i="7"/>
  <c r="D39" i="7"/>
  <c r="E39" i="7"/>
  <c r="F39" i="7"/>
  <c r="G39" i="7"/>
  <c r="H39" i="7"/>
  <c r="I39" i="7"/>
  <c r="B40" i="7"/>
  <c r="C40" i="7"/>
  <c r="D40" i="7"/>
  <c r="E40" i="7"/>
  <c r="F40" i="7"/>
  <c r="G40" i="7"/>
  <c r="H40" i="7"/>
  <c r="I40" i="7"/>
  <c r="B41" i="7"/>
  <c r="C41" i="7"/>
  <c r="D41" i="7"/>
  <c r="E41" i="7"/>
  <c r="F41" i="7"/>
  <c r="G41" i="7"/>
  <c r="H41" i="7"/>
  <c r="I41" i="7"/>
  <c r="B42" i="7"/>
  <c r="C42" i="7"/>
  <c r="D42" i="7"/>
  <c r="E42" i="7"/>
  <c r="F42" i="7"/>
  <c r="G42" i="7"/>
  <c r="H42" i="7"/>
  <c r="I42" i="7"/>
  <c r="B43" i="7"/>
  <c r="C43" i="7"/>
  <c r="D43" i="7"/>
  <c r="E43" i="7"/>
  <c r="F43" i="7"/>
  <c r="G43" i="7"/>
  <c r="H43" i="7"/>
  <c r="I43" i="7"/>
  <c r="B44" i="7"/>
  <c r="C44" i="7"/>
  <c r="D44" i="7"/>
  <c r="E44" i="7"/>
  <c r="F44" i="7"/>
  <c r="G44" i="7"/>
  <c r="H44" i="7"/>
  <c r="I44" i="7"/>
  <c r="B45" i="7"/>
  <c r="C45" i="7"/>
  <c r="D45" i="7"/>
  <c r="E45" i="7"/>
  <c r="F45" i="7"/>
  <c r="G45" i="7"/>
  <c r="H45" i="7"/>
  <c r="I45" i="7"/>
  <c r="B46" i="7"/>
  <c r="C46" i="7"/>
  <c r="D46" i="7"/>
  <c r="E46" i="7"/>
  <c r="F46" i="7"/>
  <c r="G46" i="7"/>
  <c r="H46" i="7"/>
  <c r="I46" i="7"/>
  <c r="B47" i="7"/>
  <c r="C47" i="7"/>
  <c r="D47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C2" i="7"/>
  <c r="D2" i="7"/>
  <c r="E2" i="7"/>
  <c r="F2" i="7"/>
  <c r="G2" i="7"/>
  <c r="H2" i="7"/>
  <c r="I2" i="7"/>
  <c r="I7" i="6"/>
  <c r="H7" i="6"/>
  <c r="G7" i="6"/>
  <c r="F7" i="6"/>
  <c r="F6" i="6" s="1"/>
  <c r="J4" i="6"/>
  <c r="J4" i="7" s="1"/>
  <c r="B5" i="6"/>
  <c r="B4" i="6" s="1"/>
  <c r="B3" i="6" s="1"/>
  <c r="B2" i="6" s="1"/>
  <c r="I5" i="6"/>
  <c r="I4" i="6" s="1"/>
  <c r="J5" i="6"/>
  <c r="J5" i="7" s="1"/>
  <c r="B6" i="6"/>
  <c r="C6" i="6"/>
  <c r="C5" i="6" s="1"/>
  <c r="D6" i="6"/>
  <c r="D5" i="6" s="1"/>
  <c r="E6" i="6"/>
  <c r="G6" i="6"/>
  <c r="H6" i="6"/>
  <c r="I6" i="6"/>
  <c r="J6" i="6"/>
  <c r="C7" i="6"/>
  <c r="D7" i="6"/>
  <c r="E7" i="6"/>
  <c r="J7" i="6"/>
  <c r="B7" i="6"/>
  <c r="K8" i="6"/>
  <c r="G8" i="8" s="1"/>
  <c r="K9" i="6"/>
  <c r="E9" i="8" s="1"/>
  <c r="K10" i="6"/>
  <c r="E10" i="8" s="1"/>
  <c r="K11" i="6"/>
  <c r="E11" i="8" s="1"/>
  <c r="K12" i="6"/>
  <c r="H12" i="8" s="1"/>
  <c r="K13" i="6"/>
  <c r="B13" i="8" s="1"/>
  <c r="K14" i="6"/>
  <c r="C14" i="8" s="1"/>
  <c r="K15" i="6"/>
  <c r="K16" i="6"/>
  <c r="K17" i="6"/>
  <c r="J17" i="8" s="1"/>
  <c r="K18" i="6"/>
  <c r="J18" i="8" s="1"/>
  <c r="K19" i="6"/>
  <c r="C19" i="8" s="1"/>
  <c r="K20" i="6"/>
  <c r="C20" i="8" s="1"/>
  <c r="K21" i="6"/>
  <c r="I21" i="8" s="1"/>
  <c r="K22" i="6"/>
  <c r="E22" i="8" s="1"/>
  <c r="K23" i="6"/>
  <c r="F23" i="8" s="1"/>
  <c r="K24" i="6"/>
  <c r="J24" i="8" s="1"/>
  <c r="K25" i="6"/>
  <c r="J25" i="8" s="1"/>
  <c r="K26" i="6"/>
  <c r="B26" i="8" s="1"/>
  <c r="K27" i="6"/>
  <c r="B27" i="8" s="1"/>
  <c r="K28" i="6"/>
  <c r="D28" i="8" s="1"/>
  <c r="K29" i="6"/>
  <c r="H29" i="8" s="1"/>
  <c r="K30" i="6"/>
  <c r="K31" i="6"/>
  <c r="G31" i="8" s="1"/>
  <c r="K32" i="6"/>
  <c r="J32" i="8" s="1"/>
  <c r="K33" i="6"/>
  <c r="E33" i="8" s="1"/>
  <c r="K34" i="6"/>
  <c r="I34" i="8" s="1"/>
  <c r="K35" i="6"/>
  <c r="I35" i="8" s="1"/>
  <c r="K36" i="6"/>
  <c r="E36" i="8" s="1"/>
  <c r="K37" i="6"/>
  <c r="G37" i="8" s="1"/>
  <c r="K38" i="6"/>
  <c r="J38" i="8" s="1"/>
  <c r="K39" i="6"/>
  <c r="J39" i="8" s="1"/>
  <c r="K40" i="6"/>
  <c r="I40" i="8" s="1"/>
  <c r="K41" i="6"/>
  <c r="I41" i="8" s="1"/>
  <c r="K42" i="6"/>
  <c r="J42" i="8" s="1"/>
  <c r="K43" i="6"/>
  <c r="E43" i="8" s="1"/>
  <c r="K44" i="6"/>
  <c r="K45" i="6"/>
  <c r="H45" i="8" s="1"/>
  <c r="K46" i="6"/>
  <c r="I46" i="8" s="1"/>
  <c r="K47" i="6"/>
  <c r="J47" i="8" s="1"/>
  <c r="K48" i="6"/>
  <c r="G48" i="8" s="1"/>
  <c r="K49" i="6"/>
  <c r="J49" i="8" s="1"/>
  <c r="K50" i="6"/>
  <c r="J50" i="8" s="1"/>
  <c r="K51" i="6"/>
  <c r="H51" i="8" s="1"/>
  <c r="J30" i="8"/>
  <c r="J33" i="8"/>
  <c r="J41" i="8"/>
  <c r="J44" i="8"/>
  <c r="J16" i="8"/>
  <c r="I16" i="8"/>
  <c r="I26" i="8"/>
  <c r="I30" i="8"/>
  <c r="I38" i="8"/>
  <c r="I44" i="8"/>
  <c r="I45" i="8"/>
  <c r="H16" i="8"/>
  <c r="H19" i="8"/>
  <c r="H30" i="8"/>
  <c r="H44" i="8"/>
  <c r="H46" i="8"/>
  <c r="G16" i="8"/>
  <c r="G30" i="8"/>
  <c r="G32" i="8"/>
  <c r="G33" i="8"/>
  <c r="G44" i="8"/>
  <c r="G45" i="8"/>
  <c r="F16" i="8"/>
  <c r="F19" i="8"/>
  <c r="F30" i="8"/>
  <c r="F32" i="8"/>
  <c r="F33" i="8"/>
  <c r="F44" i="8"/>
  <c r="E16" i="8"/>
  <c r="E17" i="8"/>
  <c r="E18" i="8"/>
  <c r="E19" i="8"/>
  <c r="E30" i="8"/>
  <c r="E31" i="8"/>
  <c r="E44" i="8"/>
  <c r="E45" i="8"/>
  <c r="E46" i="8"/>
  <c r="E47" i="8"/>
  <c r="D16" i="8"/>
  <c r="D17" i="8"/>
  <c r="D18" i="8"/>
  <c r="D30" i="8"/>
  <c r="D32" i="8"/>
  <c r="D44" i="8"/>
  <c r="D46" i="8"/>
  <c r="C9" i="8"/>
  <c r="C10" i="8"/>
  <c r="C16" i="8"/>
  <c r="C30" i="8"/>
  <c r="C44" i="8"/>
  <c r="B16" i="8"/>
  <c r="B17" i="8"/>
  <c r="B18" i="8"/>
  <c r="B21" i="8"/>
  <c r="B24" i="8"/>
  <c r="B30" i="8"/>
  <c r="B32" i="8"/>
  <c r="B44" i="8"/>
  <c r="B45" i="8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C52" i="6"/>
  <c r="D52" i="6"/>
  <c r="E52" i="6"/>
  <c r="F52" i="6"/>
  <c r="G52" i="6"/>
  <c r="H52" i="6"/>
  <c r="I52" i="6"/>
  <c r="J52" i="6"/>
  <c r="B5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2" i="5"/>
  <c r="D2" i="5"/>
  <c r="E2" i="5"/>
  <c r="F2" i="5"/>
  <c r="G2" i="5"/>
  <c r="H2" i="5"/>
  <c r="I2" i="5"/>
  <c r="J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2" i="5"/>
  <c r="J37" i="8" l="1"/>
  <c r="I27" i="8"/>
  <c r="I25" i="8"/>
  <c r="D10" i="8"/>
  <c r="H28" i="8"/>
  <c r="I24" i="8"/>
  <c r="F37" i="8"/>
  <c r="H27" i="8"/>
  <c r="I23" i="8"/>
  <c r="F38" i="8"/>
  <c r="C31" i="8"/>
  <c r="H26" i="8"/>
  <c r="I19" i="8"/>
  <c r="H24" i="8"/>
  <c r="B46" i="8"/>
  <c r="H23" i="8"/>
  <c r="H25" i="8"/>
  <c r="D27" i="8"/>
  <c r="E38" i="8"/>
  <c r="I10" i="8"/>
  <c r="B28" i="8"/>
  <c r="C25" i="8"/>
  <c r="D25" i="8"/>
  <c r="H33" i="8"/>
  <c r="J11" i="8"/>
  <c r="J43" i="8"/>
  <c r="B12" i="8"/>
  <c r="B10" i="8"/>
  <c r="G10" i="8"/>
  <c r="G9" i="8"/>
  <c r="H10" i="8"/>
  <c r="B29" i="8"/>
  <c r="D26" i="8"/>
  <c r="C24" i="8"/>
  <c r="D24" i="8"/>
  <c r="E23" i="8"/>
  <c r="G47" i="8"/>
  <c r="J10" i="8"/>
  <c r="G12" i="8"/>
  <c r="D23" i="8"/>
  <c r="E21" i="8"/>
  <c r="G46" i="8"/>
  <c r="I39" i="8"/>
  <c r="B9" i="8"/>
  <c r="D8" i="8"/>
  <c r="E35" i="8"/>
  <c r="F51" i="8"/>
  <c r="F17" i="8"/>
  <c r="H31" i="8"/>
  <c r="H11" i="8"/>
  <c r="I33" i="8"/>
  <c r="I17" i="8"/>
  <c r="J48" i="8"/>
  <c r="J31" i="8"/>
  <c r="C8" i="8"/>
  <c r="E20" i="8"/>
  <c r="I22" i="8"/>
  <c r="J9" i="8"/>
  <c r="B8" i="8"/>
  <c r="C18" i="8"/>
  <c r="E51" i="8"/>
  <c r="E34" i="8"/>
  <c r="F47" i="8"/>
  <c r="G18" i="8"/>
  <c r="I32" i="8"/>
  <c r="C21" i="8"/>
  <c r="B25" i="8"/>
  <c r="C46" i="8"/>
  <c r="C17" i="8"/>
  <c r="E50" i="8"/>
  <c r="F46" i="8"/>
  <c r="G51" i="8"/>
  <c r="G17" i="8"/>
  <c r="H9" i="8"/>
  <c r="I31" i="8"/>
  <c r="I11" i="8"/>
  <c r="J46" i="8"/>
  <c r="J23" i="8"/>
  <c r="C45" i="8"/>
  <c r="E49" i="8"/>
  <c r="E32" i="8"/>
  <c r="F45" i="8"/>
  <c r="G50" i="8"/>
  <c r="J45" i="8"/>
  <c r="J22" i="8"/>
  <c r="B23" i="8"/>
  <c r="E48" i="8"/>
  <c r="G49" i="8"/>
  <c r="I9" i="8"/>
  <c r="J21" i="8"/>
  <c r="B22" i="8"/>
  <c r="C32" i="8"/>
  <c r="C11" i="8"/>
  <c r="F39" i="8"/>
  <c r="G11" i="8"/>
  <c r="I8" i="8"/>
  <c r="J20" i="8"/>
  <c r="J36" i="8"/>
  <c r="B31" i="8"/>
  <c r="C23" i="8"/>
  <c r="D45" i="8"/>
  <c r="E39" i="8"/>
  <c r="F31" i="8"/>
  <c r="G34" i="8"/>
  <c r="H18" i="8"/>
  <c r="I37" i="8"/>
  <c r="J8" i="8"/>
  <c r="J35" i="8"/>
  <c r="C22" i="8"/>
  <c r="D11" i="8"/>
  <c r="H17" i="8"/>
  <c r="I36" i="8"/>
  <c r="I20" i="8"/>
  <c r="J51" i="8"/>
  <c r="J34" i="8"/>
  <c r="D22" i="8"/>
  <c r="B11" i="8"/>
  <c r="E37" i="8"/>
  <c r="D31" i="8"/>
  <c r="D9" i="8"/>
  <c r="F18" i="8"/>
  <c r="H32" i="8"/>
  <c r="I18" i="8"/>
  <c r="H5" i="6"/>
  <c r="D4" i="6"/>
  <c r="C4" i="6"/>
  <c r="I3" i="6"/>
  <c r="K6" i="6"/>
  <c r="I6" i="8" s="1"/>
  <c r="G5" i="6"/>
  <c r="F5" i="6"/>
  <c r="J3" i="6"/>
  <c r="E5" i="6"/>
  <c r="K7" i="6"/>
  <c r="H7" i="8" s="1"/>
  <c r="I52" i="8"/>
  <c r="I43" i="8"/>
  <c r="G43" i="8"/>
  <c r="I29" i="8"/>
  <c r="G29" i="8"/>
  <c r="I15" i="8"/>
  <c r="G15" i="8"/>
  <c r="C29" i="8"/>
  <c r="I42" i="8"/>
  <c r="G42" i="8"/>
  <c r="E42" i="8"/>
  <c r="I28" i="8"/>
  <c r="G28" i="8"/>
  <c r="E28" i="8"/>
  <c r="I14" i="8"/>
  <c r="G14" i="8"/>
  <c r="E14" i="8"/>
  <c r="B43" i="8"/>
  <c r="C28" i="8"/>
  <c r="D43" i="8"/>
  <c r="G41" i="8"/>
  <c r="E41" i="8"/>
  <c r="C41" i="8"/>
  <c r="G27" i="8"/>
  <c r="E27" i="8"/>
  <c r="C27" i="8"/>
  <c r="G13" i="8"/>
  <c r="E13" i="8"/>
  <c r="C13" i="8"/>
  <c r="J52" i="8"/>
  <c r="B42" i="8"/>
  <c r="C43" i="8"/>
  <c r="D42" i="8"/>
  <c r="H43" i="8"/>
  <c r="E40" i="8"/>
  <c r="C40" i="8"/>
  <c r="J40" i="8"/>
  <c r="E26" i="8"/>
  <c r="C26" i="8"/>
  <c r="J26" i="8"/>
  <c r="E12" i="8"/>
  <c r="C12" i="8"/>
  <c r="B41" i="8"/>
  <c r="C42" i="8"/>
  <c r="D41" i="8"/>
  <c r="F15" i="8"/>
  <c r="H42" i="8"/>
  <c r="J52" i="7"/>
  <c r="B40" i="8"/>
  <c r="C39" i="8"/>
  <c r="D40" i="8"/>
  <c r="F14" i="8"/>
  <c r="G26" i="8"/>
  <c r="H41" i="8"/>
  <c r="K52" i="6"/>
  <c r="F52" i="8" s="1"/>
  <c r="G52" i="8"/>
  <c r="B39" i="8"/>
  <c r="C38" i="8"/>
  <c r="D39" i="8"/>
  <c r="F13" i="8"/>
  <c r="G25" i="8"/>
  <c r="H40" i="8"/>
  <c r="B38" i="8"/>
  <c r="C37" i="8"/>
  <c r="D38" i="8"/>
  <c r="F29" i="8"/>
  <c r="F12" i="8"/>
  <c r="G24" i="8"/>
  <c r="H39" i="8"/>
  <c r="H50" i="8"/>
  <c r="F50" i="8"/>
  <c r="H36" i="8"/>
  <c r="F36" i="8"/>
  <c r="H22" i="8"/>
  <c r="F22" i="8"/>
  <c r="H8" i="8"/>
  <c r="F8" i="8"/>
  <c r="B37" i="8"/>
  <c r="C36" i="8"/>
  <c r="D37" i="8"/>
  <c r="E15" i="8"/>
  <c r="F28" i="8"/>
  <c r="F11" i="8"/>
  <c r="G40" i="8"/>
  <c r="G23" i="8"/>
  <c r="H38" i="8"/>
  <c r="I51" i="8"/>
  <c r="H49" i="8"/>
  <c r="F49" i="8"/>
  <c r="H35" i="8"/>
  <c r="F35" i="8"/>
  <c r="D35" i="8"/>
  <c r="H21" i="8"/>
  <c r="F21" i="8"/>
  <c r="D21" i="8"/>
  <c r="B36" i="8"/>
  <c r="C51" i="8"/>
  <c r="C35" i="8"/>
  <c r="D36" i="8"/>
  <c r="F27" i="8"/>
  <c r="F10" i="8"/>
  <c r="G39" i="8"/>
  <c r="G22" i="8"/>
  <c r="H37" i="8"/>
  <c r="I50" i="8"/>
  <c r="H48" i="8"/>
  <c r="F48" i="8"/>
  <c r="D48" i="8"/>
  <c r="B48" i="8"/>
  <c r="H34" i="8"/>
  <c r="F34" i="8"/>
  <c r="D34" i="8"/>
  <c r="B34" i="8"/>
  <c r="H20" i="8"/>
  <c r="F20" i="8"/>
  <c r="D20" i="8"/>
  <c r="B20" i="8"/>
  <c r="B51" i="8"/>
  <c r="B35" i="8"/>
  <c r="C50" i="8"/>
  <c r="C34" i="8"/>
  <c r="D51" i="8"/>
  <c r="D15" i="8"/>
  <c r="F43" i="8"/>
  <c r="F26" i="8"/>
  <c r="F9" i="8"/>
  <c r="G38" i="8"/>
  <c r="G21" i="8"/>
  <c r="I49" i="8"/>
  <c r="J15" i="8"/>
  <c r="D47" i="8"/>
  <c r="B47" i="8"/>
  <c r="D33" i="8"/>
  <c r="B33" i="8"/>
  <c r="D19" i="8"/>
  <c r="B19" i="8"/>
  <c r="J19" i="8"/>
  <c r="B50" i="8"/>
  <c r="C49" i="8"/>
  <c r="C33" i="8"/>
  <c r="D50" i="8"/>
  <c r="D14" i="8"/>
  <c r="E29" i="8"/>
  <c r="F42" i="8"/>
  <c r="F25" i="8"/>
  <c r="G20" i="8"/>
  <c r="H15" i="8"/>
  <c r="I48" i="8"/>
  <c r="J14" i="8"/>
  <c r="J29" i="8"/>
  <c r="B49" i="8"/>
  <c r="B15" i="8"/>
  <c r="C48" i="8"/>
  <c r="D49" i="8"/>
  <c r="D13" i="8"/>
  <c r="E25" i="8"/>
  <c r="E8" i="8"/>
  <c r="F41" i="8"/>
  <c r="F24" i="8"/>
  <c r="G36" i="8"/>
  <c r="G19" i="8"/>
  <c r="H14" i="8"/>
  <c r="I47" i="8"/>
  <c r="I13" i="8"/>
  <c r="J13" i="8"/>
  <c r="J28" i="8"/>
  <c r="B14" i="8"/>
  <c r="C47" i="8"/>
  <c r="C15" i="8"/>
  <c r="D29" i="8"/>
  <c r="D12" i="8"/>
  <c r="E24" i="8"/>
  <c r="F40" i="8"/>
  <c r="G35" i="8"/>
  <c r="H47" i="8"/>
  <c r="H13" i="8"/>
  <c r="I12" i="8"/>
  <c r="J12" i="8"/>
  <c r="J27" i="8"/>
  <c r="B52" i="8" l="1"/>
  <c r="C52" i="8"/>
  <c r="H52" i="8"/>
  <c r="D52" i="8"/>
  <c r="E52" i="8"/>
  <c r="K52" i="8" s="1"/>
  <c r="H4" i="6"/>
  <c r="B6" i="8"/>
  <c r="D6" i="8"/>
  <c r="I2" i="6"/>
  <c r="F4" i="6"/>
  <c r="F6" i="8"/>
  <c r="J2" i="6"/>
  <c r="J2" i="7" s="1"/>
  <c r="J3" i="7"/>
  <c r="G4" i="6"/>
  <c r="E6" i="8"/>
  <c r="C3" i="6"/>
  <c r="J6" i="8"/>
  <c r="E4" i="6"/>
  <c r="G6" i="8"/>
  <c r="H6" i="8"/>
  <c r="C6" i="8"/>
  <c r="K5" i="6"/>
  <c r="C5" i="8" s="1"/>
  <c r="D3" i="6"/>
  <c r="I7" i="8"/>
  <c r="G7" i="8"/>
  <c r="J7" i="8"/>
  <c r="C7" i="8"/>
  <c r="E7" i="8"/>
  <c r="D7" i="8"/>
  <c r="F7" i="8"/>
  <c r="B7" i="8"/>
  <c r="H5" i="8" l="1"/>
  <c r="E5" i="8"/>
  <c r="H3" i="6"/>
  <c r="D2" i="6"/>
  <c r="B5" i="8"/>
  <c r="J5" i="8"/>
  <c r="D5" i="8"/>
  <c r="G3" i="6"/>
  <c r="F3" i="6"/>
  <c r="K4" i="6"/>
  <c r="F4" i="8" s="1"/>
  <c r="E3" i="6"/>
  <c r="G5" i="8"/>
  <c r="I5" i="8"/>
  <c r="C2" i="6"/>
  <c r="F5" i="8"/>
  <c r="H2" i="6" l="1"/>
  <c r="E4" i="8"/>
  <c r="B4" i="8"/>
  <c r="D4" i="8"/>
  <c r="G2" i="6"/>
  <c r="C4" i="8"/>
  <c r="F2" i="6"/>
  <c r="G4" i="8"/>
  <c r="I4" i="8"/>
  <c r="J4" i="8"/>
  <c r="E2" i="6"/>
  <c r="H4" i="8"/>
  <c r="K3" i="6"/>
  <c r="B3" i="8" s="1"/>
  <c r="D3" i="8" l="1"/>
  <c r="H3" i="8"/>
  <c r="J3" i="8"/>
  <c r="K2" i="6"/>
  <c r="B2" i="8" s="1"/>
  <c r="E3" i="8"/>
  <c r="F3" i="8"/>
  <c r="C3" i="8"/>
  <c r="G3" i="8"/>
  <c r="I3" i="8"/>
  <c r="E2" i="8" l="1"/>
  <c r="D2" i="8"/>
  <c r="F2" i="8"/>
  <c r="C2" i="8"/>
  <c r="I2" i="8"/>
  <c r="J2" i="8"/>
  <c r="H2" i="8"/>
  <c r="G2" i="8"/>
</calcChain>
</file>

<file path=xl/sharedStrings.xml><?xml version="1.0" encoding="utf-8"?>
<sst xmlns="http://schemas.openxmlformats.org/spreadsheetml/2006/main" count="132" uniqueCount="17">
  <si>
    <t>east</t>
  </si>
  <si>
    <t>london</t>
  </si>
  <si>
    <t>north.east</t>
  </si>
  <si>
    <t>north.west</t>
  </si>
  <si>
    <t>yorkshire.and.the.humber</t>
  </si>
  <si>
    <t>east.midlands</t>
  </si>
  <si>
    <t>west.midlands</t>
  </si>
  <si>
    <t>south.east</t>
  </si>
  <si>
    <t>south.west</t>
  </si>
  <si>
    <t>year</t>
  </si>
  <si>
    <t>CPI</t>
  </si>
  <si>
    <t>wales</t>
  </si>
  <si>
    <t>scotland</t>
  </si>
  <si>
    <t>northern.ireland</t>
  </si>
  <si>
    <t>region</t>
  </si>
  <si>
    <t>runemp_avg</t>
  </si>
  <si>
    <t>rearn_avg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</si>
</sst>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16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6" fillId="0" borderId="0" xfId="0" applyFont="1"/>
    <xf numFmtId="0" fontId="0" fillId="0" borderId="0" xfId="0"/>
    <xf numFmtId="0" fontId="16" fillId="0" borderId="0" xfId="0" applyFont="1" applyAlignment="1">
      <alignment horizontal="center"/>
    </xf>
    <xf numFmtId="0" fontId="20" fillId="0" borderId="0" xfId="0" applyFont="1"/>
    <xf numFmtId="168" fontId="20" fillId="0" borderId="0" xfId="0" applyNumberFormat="1" applyFont="1" applyAlignment="1">
      <alignment vertical="center" wrapText="1"/>
    </xf>
    <xf numFmtId="168" fontId="20" fillId="0" borderId="0" xfId="0" applyNumberFormat="1" applyFont="1"/>
    <xf numFmtId="168" fontId="21" fillId="0" borderId="0" xfId="0" applyNumberFormat="1" applyFont="1"/>
    <xf numFmtId="0" fontId="16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2ADD7664-1228-4B53-9FEA-EC2600A74107}"/>
    <cellStyle name="Normal 3 2" xfId="43" xr:uid="{D5764A38-21BC-4A66-B076-485185BE66D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1E42-6CD2-46ED-9C17-F66E3B86B79B}">
  <dimension ref="A1:M52"/>
  <sheetViews>
    <sheetView workbookViewId="0">
      <selection sqref="A1:M52"/>
    </sheetView>
  </sheetViews>
  <sheetFormatPr defaultRowHeight="14.4" x14ac:dyDescent="0.3"/>
  <cols>
    <col min="2" max="2" width="9.44140625" bestFit="1" customWidth="1"/>
    <col min="3" max="3" width="9.77734375" bestFit="1" customWidth="1"/>
    <col min="4" max="4" width="22.88671875" bestFit="1" customWidth="1"/>
    <col min="5" max="5" width="13.109375" bestFit="1" customWidth="1"/>
    <col min="6" max="6" width="13.44140625" bestFit="1" customWidth="1"/>
  </cols>
  <sheetData>
    <row r="1" spans="1:13" x14ac:dyDescent="0.3">
      <c r="A1" s="10" t="s">
        <v>9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0</v>
      </c>
      <c r="H1" s="10" t="s">
        <v>1</v>
      </c>
      <c r="I1" s="10" t="s">
        <v>7</v>
      </c>
      <c r="J1" s="10" t="s">
        <v>8</v>
      </c>
      <c r="K1" s="15" t="s">
        <v>11</v>
      </c>
      <c r="L1" s="15" t="s">
        <v>12</v>
      </c>
      <c r="M1" s="15" t="s">
        <v>13</v>
      </c>
    </row>
    <row r="2" spans="1:13" x14ac:dyDescent="0.3">
      <c r="A2" s="11">
        <v>1975</v>
      </c>
      <c r="B2" s="12">
        <v>4.3</v>
      </c>
      <c r="C2" s="12">
        <v>3.7</v>
      </c>
      <c r="D2" s="12">
        <v>2.7</v>
      </c>
      <c r="E2" s="12">
        <v>2.5</v>
      </c>
      <c r="F2" s="12">
        <v>2.9</v>
      </c>
      <c r="G2" s="12">
        <v>2.2000000000000002</v>
      </c>
      <c r="H2" s="12">
        <v>1.9</v>
      </c>
      <c r="I2" s="12">
        <v>2</v>
      </c>
      <c r="J2" s="12">
        <v>3.2</v>
      </c>
      <c r="K2" s="12">
        <v>4.5999999999999996</v>
      </c>
      <c r="L2" s="12">
        <v>4.4000000000000004</v>
      </c>
      <c r="M2" s="12">
        <v>6.3</v>
      </c>
    </row>
    <row r="3" spans="1:13" x14ac:dyDescent="0.3">
      <c r="A3" s="11">
        <v>1976</v>
      </c>
      <c r="B3" s="12">
        <v>5.4</v>
      </c>
      <c r="C3" s="12">
        <v>4.7</v>
      </c>
      <c r="D3" s="12">
        <v>3.7</v>
      </c>
      <c r="E3" s="12">
        <v>3.2</v>
      </c>
      <c r="F3" s="12">
        <v>4</v>
      </c>
      <c r="G3" s="12">
        <v>3.1</v>
      </c>
      <c r="H3" s="12">
        <v>3.1</v>
      </c>
      <c r="I3" s="12">
        <v>2.8</v>
      </c>
      <c r="J3" s="12">
        <v>4.3</v>
      </c>
      <c r="K3" s="12">
        <v>5.9</v>
      </c>
      <c r="L3" s="12">
        <v>5.9</v>
      </c>
      <c r="M3" s="12">
        <v>8.1999999999999993</v>
      </c>
    </row>
    <row r="4" spans="1:13" x14ac:dyDescent="0.3">
      <c r="A4" s="11">
        <v>1977</v>
      </c>
      <c r="B4" s="12">
        <v>6</v>
      </c>
      <c r="C4" s="12">
        <v>4.8</v>
      </c>
      <c r="D4" s="12">
        <v>3.8</v>
      </c>
      <c r="E4" s="12">
        <v>3.4</v>
      </c>
      <c r="F4" s="12">
        <v>3.9</v>
      </c>
      <c r="G4" s="12">
        <v>3.3</v>
      </c>
      <c r="H4" s="12">
        <v>3.2</v>
      </c>
      <c r="I4" s="12">
        <v>3</v>
      </c>
      <c r="J4" s="12">
        <v>4.5</v>
      </c>
      <c r="K4" s="12">
        <v>6.3</v>
      </c>
      <c r="L4" s="12">
        <v>6.8</v>
      </c>
      <c r="M4" s="12">
        <v>9.1</v>
      </c>
    </row>
    <row r="5" spans="1:13" x14ac:dyDescent="0.3">
      <c r="A5" s="11">
        <v>1978</v>
      </c>
      <c r="B5" s="12">
        <v>6.5</v>
      </c>
      <c r="C5" s="12">
        <v>4.8</v>
      </c>
      <c r="D5" s="12">
        <v>4</v>
      </c>
      <c r="E5" s="12">
        <v>3.4</v>
      </c>
      <c r="F5" s="12">
        <v>3.8</v>
      </c>
      <c r="G5" s="12">
        <v>3</v>
      </c>
      <c r="H5" s="12">
        <v>2.9</v>
      </c>
      <c r="I5" s="12">
        <v>2.7</v>
      </c>
      <c r="J5" s="12">
        <v>4.2</v>
      </c>
      <c r="K5" s="12">
        <v>6.5</v>
      </c>
      <c r="L5" s="12">
        <v>6.8</v>
      </c>
      <c r="M5" s="12">
        <v>9.6</v>
      </c>
    </row>
    <row r="6" spans="1:13" x14ac:dyDescent="0.3">
      <c r="A6" s="11">
        <v>1979</v>
      </c>
      <c r="B6" s="12">
        <v>6.5</v>
      </c>
      <c r="C6" s="12">
        <v>4.5999999999999996</v>
      </c>
      <c r="D6" s="12">
        <v>3.8</v>
      </c>
      <c r="E6" s="12">
        <v>3.1</v>
      </c>
      <c r="F6" s="12">
        <v>3.7</v>
      </c>
      <c r="G6" s="12">
        <v>2.6</v>
      </c>
      <c r="H6" s="12">
        <v>2.5</v>
      </c>
      <c r="I6" s="12">
        <v>2.2000000000000002</v>
      </c>
      <c r="J6" s="12">
        <v>3.7</v>
      </c>
      <c r="K6" s="12">
        <v>6.1</v>
      </c>
      <c r="L6" s="12">
        <v>6.6</v>
      </c>
      <c r="M6" s="12">
        <v>9.1999999999999993</v>
      </c>
    </row>
    <row r="7" spans="1:13" x14ac:dyDescent="0.3">
      <c r="A7" s="11">
        <v>1980</v>
      </c>
      <c r="B7" s="12">
        <v>8</v>
      </c>
      <c r="C7" s="12">
        <v>6</v>
      </c>
      <c r="D7" s="12">
        <v>5</v>
      </c>
      <c r="E7" s="12">
        <v>4.2</v>
      </c>
      <c r="F7" s="12">
        <v>5.2</v>
      </c>
      <c r="G7" s="12">
        <v>3.2</v>
      </c>
      <c r="H7" s="12">
        <v>3.1</v>
      </c>
      <c r="I7" s="12">
        <v>2.8</v>
      </c>
      <c r="J7" s="12">
        <v>4.2</v>
      </c>
      <c r="K7" s="12">
        <v>8.6</v>
      </c>
      <c r="L7" s="12">
        <v>8.8000000000000007</v>
      </c>
      <c r="M7" s="12">
        <v>11.7</v>
      </c>
    </row>
    <row r="8" spans="1:13" x14ac:dyDescent="0.3">
      <c r="A8" s="11">
        <v>1981</v>
      </c>
      <c r="B8" s="12">
        <v>11.8</v>
      </c>
      <c r="C8" s="12">
        <v>9.4</v>
      </c>
      <c r="D8" s="12">
        <v>8.3000000000000007</v>
      </c>
      <c r="E8" s="12">
        <v>6.9</v>
      </c>
      <c r="F8" s="12">
        <v>9.4</v>
      </c>
      <c r="G8" s="12">
        <v>5.6</v>
      </c>
      <c r="H8" s="12">
        <v>5.2</v>
      </c>
      <c r="I8" s="12">
        <v>5</v>
      </c>
      <c r="J8" s="12">
        <v>6.2</v>
      </c>
      <c r="K8" s="12">
        <v>12.4</v>
      </c>
      <c r="L8" s="12">
        <v>12</v>
      </c>
      <c r="M8" s="12">
        <v>15.6</v>
      </c>
    </row>
    <row r="9" spans="1:13" x14ac:dyDescent="0.3">
      <c r="A9" s="11">
        <v>1982</v>
      </c>
      <c r="B9" s="12">
        <v>13.5</v>
      </c>
      <c r="C9" s="12">
        <v>11.2</v>
      </c>
      <c r="D9" s="12">
        <v>9.8000000000000007</v>
      </c>
      <c r="E9" s="12">
        <v>8</v>
      </c>
      <c r="F9" s="12">
        <v>11.2</v>
      </c>
      <c r="G9" s="12">
        <v>6.7</v>
      </c>
      <c r="H9" s="12">
        <v>6.4</v>
      </c>
      <c r="I9" s="12">
        <v>6</v>
      </c>
      <c r="J9" s="12">
        <v>7.2</v>
      </c>
      <c r="K9" s="12">
        <v>13.2</v>
      </c>
      <c r="L9" s="12">
        <v>12.5</v>
      </c>
      <c r="M9" s="12">
        <v>16</v>
      </c>
    </row>
    <row r="10" spans="1:13" x14ac:dyDescent="0.3">
      <c r="A10" s="11">
        <v>1983</v>
      </c>
      <c r="B10" s="12">
        <v>14.7</v>
      </c>
      <c r="C10" s="12">
        <v>12.4</v>
      </c>
      <c r="D10" s="12">
        <v>10.8</v>
      </c>
      <c r="E10" s="12">
        <v>8.9</v>
      </c>
      <c r="F10" s="12">
        <v>12.2</v>
      </c>
      <c r="G10" s="12">
        <v>7.3</v>
      </c>
      <c r="H10" s="12">
        <v>7.4</v>
      </c>
      <c r="I10" s="12">
        <v>6.5</v>
      </c>
      <c r="J10" s="12">
        <v>8.1</v>
      </c>
      <c r="K10" s="12">
        <v>13.8</v>
      </c>
      <c r="L10" s="12">
        <v>13.3</v>
      </c>
      <c r="M10" s="12">
        <v>16.8</v>
      </c>
    </row>
    <row r="11" spans="1:13" x14ac:dyDescent="0.3">
      <c r="A11" s="11">
        <v>1984</v>
      </c>
      <c r="B11" s="12">
        <v>15.4</v>
      </c>
      <c r="C11" s="12">
        <v>12.6</v>
      </c>
      <c r="D11" s="12">
        <v>11</v>
      </c>
      <c r="E11" s="12">
        <v>9.3000000000000007</v>
      </c>
      <c r="F11" s="12">
        <v>11.9</v>
      </c>
      <c r="G11" s="12">
        <v>7.3</v>
      </c>
      <c r="H11" s="12">
        <v>7.8</v>
      </c>
      <c r="I11" s="12">
        <v>6.6</v>
      </c>
      <c r="J11" s="12">
        <v>8.3000000000000007</v>
      </c>
      <c r="K11" s="12">
        <v>13.6</v>
      </c>
      <c r="L11" s="12">
        <v>13.3</v>
      </c>
      <c r="M11" s="12">
        <v>17.2</v>
      </c>
    </row>
    <row r="12" spans="1:13" x14ac:dyDescent="0.3">
      <c r="A12" s="11">
        <v>1985</v>
      </c>
      <c r="B12" s="12">
        <v>15.6</v>
      </c>
      <c r="C12" s="12">
        <v>12.6</v>
      </c>
      <c r="D12" s="12">
        <v>11.3</v>
      </c>
      <c r="E12" s="12">
        <v>9.3000000000000007</v>
      </c>
      <c r="F12" s="12">
        <v>12.1</v>
      </c>
      <c r="G12" s="12">
        <v>7.5</v>
      </c>
      <c r="H12" s="12">
        <v>8.3000000000000007</v>
      </c>
      <c r="I12" s="12">
        <v>6.6</v>
      </c>
      <c r="J12" s="12">
        <v>8.6</v>
      </c>
      <c r="K12" s="12">
        <v>14.2</v>
      </c>
      <c r="L12" s="12">
        <v>13.7</v>
      </c>
      <c r="M12" s="12">
        <v>17</v>
      </c>
    </row>
    <row r="13" spans="1:13" x14ac:dyDescent="0.3">
      <c r="A13" s="11">
        <v>1986</v>
      </c>
      <c r="B13" s="12">
        <v>15.6</v>
      </c>
      <c r="C13" s="12">
        <v>12.7</v>
      </c>
      <c r="D13" s="12">
        <v>11.8</v>
      </c>
      <c r="E13" s="12">
        <v>9.4</v>
      </c>
      <c r="F13" s="12">
        <v>12.1</v>
      </c>
      <c r="G13" s="12">
        <v>7.8</v>
      </c>
      <c r="H13" s="12">
        <v>8.6</v>
      </c>
      <c r="I13" s="12">
        <v>6.7</v>
      </c>
      <c r="J13" s="12">
        <v>8.6999999999999993</v>
      </c>
      <c r="K13" s="12">
        <v>14</v>
      </c>
      <c r="L13" s="12">
        <v>14</v>
      </c>
      <c r="M13" s="12">
        <v>17.7</v>
      </c>
    </row>
    <row r="14" spans="1:13" x14ac:dyDescent="0.3">
      <c r="A14" s="11">
        <v>1987</v>
      </c>
      <c r="B14" s="12">
        <v>14.4</v>
      </c>
      <c r="C14" s="12">
        <v>11.5</v>
      </c>
      <c r="D14" s="12">
        <v>10.7</v>
      </c>
      <c r="E14" s="12">
        <v>8.5</v>
      </c>
      <c r="F14" s="12">
        <v>10.8</v>
      </c>
      <c r="G14" s="12">
        <v>6.6</v>
      </c>
      <c r="H14" s="12">
        <v>7.7</v>
      </c>
      <c r="I14" s="12">
        <v>5.6</v>
      </c>
      <c r="J14" s="12">
        <v>7.5</v>
      </c>
      <c r="K14" s="12">
        <v>12.3</v>
      </c>
      <c r="L14" s="12">
        <v>13.4</v>
      </c>
      <c r="M14" s="12">
        <v>17.3</v>
      </c>
    </row>
    <row r="15" spans="1:13" x14ac:dyDescent="0.3">
      <c r="A15" s="11">
        <v>1988</v>
      </c>
      <c r="B15" s="12">
        <v>12.3</v>
      </c>
      <c r="C15" s="12">
        <v>9.5</v>
      </c>
      <c r="D15" s="12">
        <v>8.8000000000000007</v>
      </c>
      <c r="E15" s="12">
        <v>6.7</v>
      </c>
      <c r="F15" s="12">
        <v>8.3000000000000007</v>
      </c>
      <c r="G15" s="12">
        <v>4.5999999999999996</v>
      </c>
      <c r="H15" s="12">
        <v>6.2</v>
      </c>
      <c r="I15" s="12">
        <v>3.8</v>
      </c>
      <c r="J15" s="12">
        <v>5.7</v>
      </c>
      <c r="K15" s="12">
        <v>10</v>
      </c>
      <c r="L15" s="12">
        <v>11.3</v>
      </c>
      <c r="M15" s="12">
        <v>15.6</v>
      </c>
    </row>
    <row r="16" spans="1:13" x14ac:dyDescent="0.3">
      <c r="A16" s="11">
        <v>1989</v>
      </c>
      <c r="B16" s="12">
        <v>10.3</v>
      </c>
      <c r="C16" s="12">
        <v>7.8</v>
      </c>
      <c r="D16" s="12">
        <v>7</v>
      </c>
      <c r="E16" s="12">
        <v>5.0999999999999996</v>
      </c>
      <c r="F16" s="12">
        <v>6.1</v>
      </c>
      <c r="G16" s="12">
        <v>3.1</v>
      </c>
      <c r="H16" s="12">
        <v>4.8</v>
      </c>
      <c r="I16" s="12">
        <v>2.6</v>
      </c>
      <c r="J16" s="12">
        <v>4.0999999999999996</v>
      </c>
      <c r="K16" s="12">
        <v>7.1</v>
      </c>
      <c r="L16" s="12">
        <v>9</v>
      </c>
      <c r="M16" s="12">
        <v>14.3</v>
      </c>
    </row>
    <row r="17" spans="1:13" x14ac:dyDescent="0.3">
      <c r="A17" s="11">
        <v>1990</v>
      </c>
      <c r="B17" s="13">
        <v>9.1</v>
      </c>
      <c r="C17" s="13">
        <v>7</v>
      </c>
      <c r="D17" s="13">
        <v>6.2</v>
      </c>
      <c r="E17" s="13">
        <v>4.5999999999999996</v>
      </c>
      <c r="F17" s="13">
        <v>5.4</v>
      </c>
      <c r="G17" s="13">
        <v>4.5999999999999996</v>
      </c>
      <c r="H17" s="13">
        <v>4.4000000000000004</v>
      </c>
      <c r="I17" s="13">
        <v>2.4</v>
      </c>
      <c r="J17" s="13">
        <v>3.6</v>
      </c>
      <c r="K17" s="12">
        <v>6.5</v>
      </c>
      <c r="L17" s="12">
        <v>7.8</v>
      </c>
      <c r="M17" s="12">
        <v>13</v>
      </c>
    </row>
    <row r="18" spans="1:13" x14ac:dyDescent="0.3">
      <c r="A18" s="11">
        <v>1991</v>
      </c>
      <c r="B18" s="13">
        <v>9.8000000000000007</v>
      </c>
      <c r="C18" s="13">
        <v>7.8</v>
      </c>
      <c r="D18" s="13">
        <v>7.3</v>
      </c>
      <c r="E18" s="13">
        <v>5.9</v>
      </c>
      <c r="F18" s="13">
        <v>6.7</v>
      </c>
      <c r="G18" s="13">
        <v>5.9</v>
      </c>
      <c r="H18" s="13">
        <v>6.3</v>
      </c>
      <c r="I18" s="13">
        <v>4.2</v>
      </c>
      <c r="J18" s="13">
        <v>5.4</v>
      </c>
      <c r="K18" s="12">
        <v>8.6</v>
      </c>
      <c r="L18" s="12">
        <v>8.4</v>
      </c>
      <c r="M18" s="12">
        <v>13.1</v>
      </c>
    </row>
    <row r="19" spans="1:13" x14ac:dyDescent="0.3">
      <c r="A19" s="11">
        <v>1992</v>
      </c>
      <c r="B19" s="13">
        <v>13</v>
      </c>
      <c r="C19" s="13">
        <v>10.9</v>
      </c>
      <c r="D19" s="13">
        <v>9.9</v>
      </c>
      <c r="E19" s="13">
        <v>9.1999999999999993</v>
      </c>
      <c r="F19" s="13">
        <v>12.1</v>
      </c>
      <c r="G19" s="13">
        <v>9.1999999999999993</v>
      </c>
      <c r="H19" s="13">
        <v>13.1</v>
      </c>
      <c r="I19" s="13">
        <v>8.5</v>
      </c>
      <c r="J19" s="13">
        <v>9.4</v>
      </c>
      <c r="K19" s="14">
        <v>10.5</v>
      </c>
      <c r="L19" s="14">
        <v>10.7</v>
      </c>
      <c r="M19" s="14">
        <v>12.4</v>
      </c>
    </row>
    <row r="20" spans="1:13" x14ac:dyDescent="0.3">
      <c r="A20" s="11">
        <v>1993</v>
      </c>
      <c r="B20" s="13">
        <v>12.6</v>
      </c>
      <c r="C20" s="13">
        <v>10.7</v>
      </c>
      <c r="D20" s="13">
        <v>10.199999999999999</v>
      </c>
      <c r="E20" s="13">
        <v>8.1</v>
      </c>
      <c r="F20" s="13">
        <v>11.5</v>
      </c>
      <c r="G20" s="13">
        <v>9.1</v>
      </c>
      <c r="H20" s="13">
        <v>14.1</v>
      </c>
      <c r="I20" s="13">
        <v>7.9</v>
      </c>
      <c r="J20" s="13">
        <v>8.5</v>
      </c>
      <c r="K20" s="14">
        <v>10.1</v>
      </c>
      <c r="L20" s="14">
        <v>9.9</v>
      </c>
      <c r="M20" s="14">
        <v>12.2</v>
      </c>
    </row>
    <row r="21" spans="1:13" x14ac:dyDescent="0.3">
      <c r="A21" s="11">
        <v>1994</v>
      </c>
      <c r="B21" s="13">
        <v>12.8</v>
      </c>
      <c r="C21" s="13">
        <v>9.3000000000000007</v>
      </c>
      <c r="D21" s="13">
        <v>9.1</v>
      </c>
      <c r="E21" s="13">
        <v>7.8</v>
      </c>
      <c r="F21" s="13">
        <v>9</v>
      </c>
      <c r="G21" s="13">
        <v>7.2</v>
      </c>
      <c r="H21" s="13">
        <v>12.1</v>
      </c>
      <c r="I21" s="13">
        <v>6.7</v>
      </c>
      <c r="J21" s="13">
        <v>7.3</v>
      </c>
      <c r="K21" s="14">
        <v>9.4</v>
      </c>
      <c r="L21" s="14">
        <v>8.5</v>
      </c>
      <c r="M21" s="14">
        <v>11.5</v>
      </c>
    </row>
    <row r="22" spans="1:13" x14ac:dyDescent="0.3">
      <c r="A22" s="11">
        <v>1995</v>
      </c>
      <c r="B22" s="13">
        <v>11</v>
      </c>
      <c r="C22" s="13">
        <v>8.5</v>
      </c>
      <c r="D22" s="13">
        <v>8.1</v>
      </c>
      <c r="E22" s="13">
        <v>7.3</v>
      </c>
      <c r="F22" s="13">
        <v>8.6</v>
      </c>
      <c r="G22" s="13">
        <v>7.1</v>
      </c>
      <c r="H22" s="13">
        <v>11.4</v>
      </c>
      <c r="I22" s="13">
        <v>6.5</v>
      </c>
      <c r="J22" s="13">
        <v>7.3</v>
      </c>
      <c r="K22" s="14">
        <v>8.1</v>
      </c>
      <c r="L22" s="14">
        <v>9</v>
      </c>
      <c r="M22" s="14">
        <v>9.4</v>
      </c>
    </row>
    <row r="23" spans="1:13" x14ac:dyDescent="0.3">
      <c r="A23" s="11">
        <v>1996</v>
      </c>
      <c r="B23" s="13">
        <v>9.6</v>
      </c>
      <c r="C23" s="13">
        <v>7.5</v>
      </c>
      <c r="D23" s="13">
        <v>8.5</v>
      </c>
      <c r="E23" s="13">
        <v>6.7</v>
      </c>
      <c r="F23" s="13">
        <v>7.3</v>
      </c>
      <c r="G23" s="13">
        <v>6.5</v>
      </c>
      <c r="H23" s="13">
        <v>10.9</v>
      </c>
      <c r="I23" s="13">
        <v>5.2</v>
      </c>
      <c r="J23" s="13">
        <v>6.2</v>
      </c>
      <c r="K23" s="14">
        <v>8.1</v>
      </c>
      <c r="L23" s="14">
        <v>9</v>
      </c>
      <c r="M23" s="14">
        <v>9.1</v>
      </c>
    </row>
    <row r="24" spans="1:13" x14ac:dyDescent="0.3">
      <c r="A24" s="11">
        <v>1997</v>
      </c>
      <c r="B24" s="13">
        <v>8</v>
      </c>
      <c r="C24" s="13">
        <v>6.7</v>
      </c>
      <c r="D24" s="13">
        <v>7</v>
      </c>
      <c r="E24" s="13">
        <v>5</v>
      </c>
      <c r="F24" s="13">
        <v>6.8</v>
      </c>
      <c r="G24" s="13">
        <v>5.0999999999999996</v>
      </c>
      <c r="H24" s="13">
        <v>9.1</v>
      </c>
      <c r="I24" s="13">
        <v>4.3</v>
      </c>
      <c r="J24" s="13">
        <v>5.0999999999999996</v>
      </c>
      <c r="K24" s="14">
        <v>6.5</v>
      </c>
      <c r="L24" s="14">
        <v>7.1</v>
      </c>
      <c r="M24" s="14">
        <v>8.5</v>
      </c>
    </row>
    <row r="25" spans="1:13" x14ac:dyDescent="0.3">
      <c r="A25" s="11">
        <v>1998</v>
      </c>
      <c r="B25" s="13">
        <v>9.6</v>
      </c>
      <c r="C25" s="13">
        <v>7.2</v>
      </c>
      <c r="D25" s="13">
        <v>6.9</v>
      </c>
      <c r="E25" s="13">
        <v>5</v>
      </c>
      <c r="F25" s="13">
        <v>6.5</v>
      </c>
      <c r="G25" s="13">
        <v>4.5</v>
      </c>
      <c r="H25" s="13">
        <v>7.8</v>
      </c>
      <c r="I25" s="13">
        <v>4</v>
      </c>
      <c r="J25" s="13">
        <v>4.5999999999999996</v>
      </c>
      <c r="K25" s="14">
        <v>7.5</v>
      </c>
      <c r="L25" s="14">
        <v>7.5</v>
      </c>
      <c r="M25" s="14">
        <v>6.8</v>
      </c>
    </row>
    <row r="26" spans="1:13" x14ac:dyDescent="0.3">
      <c r="A26" s="11">
        <v>1999</v>
      </c>
      <c r="B26" s="13">
        <v>8.4</v>
      </c>
      <c r="C26" s="13">
        <v>6.3</v>
      </c>
      <c r="D26" s="13">
        <v>6.3</v>
      </c>
      <c r="E26" s="13">
        <v>5.5</v>
      </c>
      <c r="F26" s="13">
        <v>6.6</v>
      </c>
      <c r="G26" s="13">
        <v>4.2</v>
      </c>
      <c r="H26" s="13">
        <v>7.1</v>
      </c>
      <c r="I26" s="13">
        <v>3.9</v>
      </c>
      <c r="J26" s="13">
        <v>4.3</v>
      </c>
      <c r="K26" s="14">
        <v>7.3</v>
      </c>
      <c r="L26" s="14">
        <v>7.2</v>
      </c>
      <c r="M26" s="14">
        <v>6.4</v>
      </c>
    </row>
    <row r="27" spans="1:13" x14ac:dyDescent="0.3">
      <c r="A27" s="11">
        <v>2000</v>
      </c>
      <c r="B27" s="13">
        <v>7.5</v>
      </c>
      <c r="C27" s="13">
        <v>5.3</v>
      </c>
      <c r="D27" s="13">
        <v>5.8</v>
      </c>
      <c r="E27" s="13">
        <v>4.9000000000000004</v>
      </c>
      <c r="F27" s="13">
        <v>5.9</v>
      </c>
      <c r="G27" s="13">
        <v>3.4</v>
      </c>
      <c r="H27" s="13">
        <v>6.8</v>
      </c>
      <c r="I27" s="13">
        <v>3.2</v>
      </c>
      <c r="J27" s="13">
        <v>3.8</v>
      </c>
      <c r="K27" s="14">
        <v>6.2</v>
      </c>
      <c r="L27" s="14">
        <v>6.1</v>
      </c>
      <c r="M27" s="14">
        <v>5.9</v>
      </c>
    </row>
    <row r="28" spans="1:13" x14ac:dyDescent="0.3">
      <c r="A28" s="11">
        <v>2001</v>
      </c>
      <c r="B28" s="13">
        <v>7.1</v>
      </c>
      <c r="C28" s="13">
        <v>5.3</v>
      </c>
      <c r="D28" s="13">
        <v>5.2</v>
      </c>
      <c r="E28" s="13">
        <v>4.2</v>
      </c>
      <c r="F28" s="13">
        <v>5.7</v>
      </c>
      <c r="G28" s="13">
        <v>3.8</v>
      </c>
      <c r="H28" s="13">
        <v>7.2</v>
      </c>
      <c r="I28" s="13">
        <v>3.4</v>
      </c>
      <c r="J28" s="13">
        <v>3.8</v>
      </c>
      <c r="K28" s="14">
        <v>5.5</v>
      </c>
      <c r="L28" s="14">
        <v>6.8</v>
      </c>
      <c r="M28" s="14">
        <v>6.1</v>
      </c>
    </row>
    <row r="29" spans="1:13" x14ac:dyDescent="0.3">
      <c r="A29" s="11">
        <v>2002</v>
      </c>
      <c r="B29" s="13">
        <v>6.4</v>
      </c>
      <c r="C29" s="13">
        <v>4.8</v>
      </c>
      <c r="D29" s="13">
        <v>4.8</v>
      </c>
      <c r="E29" s="13">
        <v>4.3</v>
      </c>
      <c r="F29" s="13">
        <v>5.8</v>
      </c>
      <c r="G29" s="13">
        <v>4.2</v>
      </c>
      <c r="H29" s="13">
        <v>6.8</v>
      </c>
      <c r="I29" s="13">
        <v>3.9</v>
      </c>
      <c r="J29" s="13">
        <v>3.8</v>
      </c>
      <c r="K29" s="14">
        <v>4.9000000000000004</v>
      </c>
      <c r="L29" s="14">
        <v>5.9</v>
      </c>
      <c r="M29" s="14">
        <v>5.6</v>
      </c>
    </row>
    <row r="30" spans="1:13" x14ac:dyDescent="0.3">
      <c r="A30" s="11">
        <v>2003</v>
      </c>
      <c r="B30" s="13">
        <v>6.1</v>
      </c>
      <c r="C30" s="13">
        <v>4.9000000000000004</v>
      </c>
      <c r="D30" s="13">
        <v>5</v>
      </c>
      <c r="E30" s="13">
        <v>4.5</v>
      </c>
      <c r="F30" s="13">
        <v>5.5</v>
      </c>
      <c r="G30" s="13">
        <v>3.3</v>
      </c>
      <c r="H30" s="13">
        <v>6.9</v>
      </c>
      <c r="I30" s="13">
        <v>3.7</v>
      </c>
      <c r="J30" s="13">
        <v>2.8</v>
      </c>
      <c r="K30" s="14">
        <v>5.0999999999999996</v>
      </c>
      <c r="L30" s="14">
        <v>5.7</v>
      </c>
      <c r="M30" s="14">
        <v>5.6</v>
      </c>
    </row>
    <row r="31" spans="1:13" x14ac:dyDescent="0.3">
      <c r="A31" s="11">
        <v>2004</v>
      </c>
      <c r="B31" s="13">
        <v>5.5</v>
      </c>
      <c r="C31" s="13">
        <v>4.5999999999999996</v>
      </c>
      <c r="D31" s="13">
        <v>4.5</v>
      </c>
      <c r="E31" s="13">
        <v>4.2</v>
      </c>
      <c r="F31" s="13">
        <v>4.8</v>
      </c>
      <c r="G31" s="13">
        <v>3.9</v>
      </c>
      <c r="H31" s="13">
        <v>7</v>
      </c>
      <c r="I31" s="13">
        <v>3.8</v>
      </c>
      <c r="J31" s="13">
        <v>3.6</v>
      </c>
      <c r="K31" s="14">
        <v>4.3</v>
      </c>
      <c r="L31" s="14">
        <v>5.7</v>
      </c>
      <c r="M31" s="14">
        <v>4.5999999999999996</v>
      </c>
    </row>
    <row r="32" spans="1:13" x14ac:dyDescent="0.3">
      <c r="A32" s="11">
        <v>2005</v>
      </c>
      <c r="B32" s="13">
        <v>6.6</v>
      </c>
      <c r="C32" s="13">
        <v>5</v>
      </c>
      <c r="D32" s="13">
        <v>5.2</v>
      </c>
      <c r="E32" s="13">
        <v>4.5999999999999996</v>
      </c>
      <c r="F32" s="13">
        <v>5.4</v>
      </c>
      <c r="G32" s="13">
        <v>4.7</v>
      </c>
      <c r="H32" s="13">
        <v>7.2</v>
      </c>
      <c r="I32" s="13">
        <v>4</v>
      </c>
      <c r="J32" s="13">
        <v>4</v>
      </c>
      <c r="K32" s="14">
        <v>5.0999999999999996</v>
      </c>
      <c r="L32" s="14">
        <v>5.0999999999999996</v>
      </c>
      <c r="M32" s="14">
        <v>4</v>
      </c>
    </row>
    <row r="33" spans="1:13" x14ac:dyDescent="0.3">
      <c r="A33" s="11">
        <v>2006</v>
      </c>
      <c r="B33" s="13">
        <v>6.1</v>
      </c>
      <c r="C33" s="13">
        <v>5.6</v>
      </c>
      <c r="D33" s="13">
        <v>6</v>
      </c>
      <c r="E33" s="13">
        <v>5.5</v>
      </c>
      <c r="F33" s="13">
        <v>6.7</v>
      </c>
      <c r="G33" s="13">
        <v>4.7</v>
      </c>
      <c r="H33" s="13">
        <v>7.5</v>
      </c>
      <c r="I33" s="13">
        <v>4.5</v>
      </c>
      <c r="J33" s="13">
        <v>4.0999999999999996</v>
      </c>
      <c r="K33" s="14">
        <v>5.2</v>
      </c>
      <c r="L33" s="14">
        <v>4.9000000000000004</v>
      </c>
      <c r="M33" s="14">
        <v>4.0999999999999996</v>
      </c>
    </row>
    <row r="34" spans="1:13" x14ac:dyDescent="0.3">
      <c r="A34" s="11">
        <v>2007</v>
      </c>
      <c r="B34" s="13">
        <v>5.6</v>
      </c>
      <c r="C34" s="13">
        <v>5.9</v>
      </c>
      <c r="D34" s="13">
        <v>5.0999999999999996</v>
      </c>
      <c r="E34" s="13">
        <v>5.4</v>
      </c>
      <c r="F34" s="13">
        <v>5.7</v>
      </c>
      <c r="G34" s="13">
        <v>4.4000000000000004</v>
      </c>
      <c r="H34" s="13">
        <v>7</v>
      </c>
      <c r="I34" s="13">
        <v>4.4000000000000004</v>
      </c>
      <c r="J34" s="13">
        <v>3.6</v>
      </c>
      <c r="K34" s="14">
        <v>4.7</v>
      </c>
      <c r="L34" s="14">
        <v>5</v>
      </c>
      <c r="M34" s="14">
        <v>4.2</v>
      </c>
    </row>
    <row r="35" spans="1:13" x14ac:dyDescent="0.3">
      <c r="A35" s="11">
        <v>2008</v>
      </c>
      <c r="B35" s="13">
        <v>8.1999999999999993</v>
      </c>
      <c r="C35" s="13">
        <v>7.7</v>
      </c>
      <c r="D35" s="13">
        <v>7.2</v>
      </c>
      <c r="E35" s="13">
        <v>6.3</v>
      </c>
      <c r="F35" s="13">
        <v>8.1</v>
      </c>
      <c r="G35" s="13">
        <v>5.7</v>
      </c>
      <c r="H35" s="13">
        <v>7.7</v>
      </c>
      <c r="I35" s="13">
        <v>4.8</v>
      </c>
      <c r="J35" s="13">
        <v>5.2</v>
      </c>
      <c r="K35" s="14">
        <v>7.4</v>
      </c>
      <c r="L35" s="14">
        <v>5.2</v>
      </c>
      <c r="M35" s="14">
        <v>5.7</v>
      </c>
    </row>
    <row r="36" spans="1:13" x14ac:dyDescent="0.3">
      <c r="A36" s="11">
        <v>2009</v>
      </c>
      <c r="B36" s="13">
        <v>9.4</v>
      </c>
      <c r="C36" s="13">
        <v>8.5</v>
      </c>
      <c r="D36" s="13">
        <v>8.6</v>
      </c>
      <c r="E36" s="13">
        <v>7.2</v>
      </c>
      <c r="F36" s="13">
        <v>9.1</v>
      </c>
      <c r="G36" s="13">
        <v>6.6</v>
      </c>
      <c r="H36" s="13">
        <v>8.9</v>
      </c>
      <c r="I36" s="13">
        <v>6</v>
      </c>
      <c r="J36" s="13">
        <v>6.1</v>
      </c>
      <c r="K36" s="14">
        <v>8.9</v>
      </c>
      <c r="L36" s="14">
        <v>7.7</v>
      </c>
      <c r="M36" s="14">
        <v>6.3</v>
      </c>
    </row>
    <row r="37" spans="1:13" x14ac:dyDescent="0.3">
      <c r="A37" s="11">
        <v>2010</v>
      </c>
      <c r="B37" s="13">
        <v>9.9</v>
      </c>
      <c r="C37" s="13">
        <v>7.6</v>
      </c>
      <c r="D37" s="13">
        <v>9.1</v>
      </c>
      <c r="E37" s="13">
        <v>7.8</v>
      </c>
      <c r="F37" s="13">
        <v>9.8000000000000007</v>
      </c>
      <c r="G37" s="13">
        <v>6.2</v>
      </c>
      <c r="H37" s="13">
        <v>9.5</v>
      </c>
      <c r="I37" s="13">
        <v>6.2</v>
      </c>
      <c r="J37" s="13">
        <v>6.3</v>
      </c>
      <c r="K37" s="14">
        <v>8.5</v>
      </c>
      <c r="L37" s="14">
        <v>8</v>
      </c>
      <c r="M37" s="14">
        <v>7.9</v>
      </c>
    </row>
    <row r="38" spans="1:13" x14ac:dyDescent="0.3">
      <c r="A38" s="11">
        <v>2011</v>
      </c>
      <c r="B38" s="13">
        <v>10.7</v>
      </c>
      <c r="C38" s="13">
        <v>9.1</v>
      </c>
      <c r="D38" s="13">
        <v>9.6999999999999993</v>
      </c>
      <c r="E38" s="13">
        <v>8.1999999999999993</v>
      </c>
      <c r="F38" s="13">
        <v>9</v>
      </c>
      <c r="G38" s="13">
        <v>6.8</v>
      </c>
      <c r="H38" s="13">
        <v>10.3</v>
      </c>
      <c r="I38" s="13">
        <v>6.4</v>
      </c>
      <c r="J38" s="13">
        <v>6.3</v>
      </c>
      <c r="K38" s="14">
        <v>9.1</v>
      </c>
      <c r="L38" s="14">
        <v>8.5</v>
      </c>
      <c r="M38" s="14">
        <v>6.4</v>
      </c>
    </row>
    <row r="39" spans="1:13" x14ac:dyDescent="0.3">
      <c r="A39" s="11">
        <v>2012</v>
      </c>
      <c r="B39" s="13">
        <v>9.8000000000000007</v>
      </c>
      <c r="C39" s="13">
        <v>8.5</v>
      </c>
      <c r="D39" s="13">
        <v>9</v>
      </c>
      <c r="E39" s="13">
        <v>7.7</v>
      </c>
      <c r="F39" s="13">
        <v>8.9</v>
      </c>
      <c r="G39" s="13">
        <v>6.6</v>
      </c>
      <c r="H39" s="13">
        <v>8.6999999999999993</v>
      </c>
      <c r="I39" s="13">
        <v>6.6</v>
      </c>
      <c r="J39" s="13">
        <v>5.8</v>
      </c>
      <c r="K39" s="14">
        <v>8.6</v>
      </c>
      <c r="L39" s="14">
        <v>7.3</v>
      </c>
      <c r="M39" s="14">
        <v>8.3000000000000007</v>
      </c>
    </row>
    <row r="40" spans="1:13" x14ac:dyDescent="0.3">
      <c r="A40" s="11">
        <v>2013</v>
      </c>
      <c r="B40" s="13">
        <v>9.5</v>
      </c>
      <c r="C40" s="13">
        <v>8.1</v>
      </c>
      <c r="D40" s="13">
        <v>8.6999999999999993</v>
      </c>
      <c r="E40" s="13">
        <v>7</v>
      </c>
      <c r="F40" s="13">
        <v>8.1999999999999993</v>
      </c>
      <c r="G40" s="13">
        <v>5.8</v>
      </c>
      <c r="H40" s="13">
        <v>8.3000000000000007</v>
      </c>
      <c r="I40" s="13">
        <v>5.3</v>
      </c>
      <c r="J40" s="13">
        <v>5.9</v>
      </c>
      <c r="K40" s="14">
        <v>6.8</v>
      </c>
      <c r="L40" s="14">
        <v>6.7</v>
      </c>
      <c r="M40" s="14">
        <v>7.4</v>
      </c>
    </row>
    <row r="41" spans="1:13" x14ac:dyDescent="0.3">
      <c r="A41" s="11">
        <v>2014</v>
      </c>
      <c r="B41" s="13">
        <v>7.8</v>
      </c>
      <c r="C41" s="13">
        <v>6.3</v>
      </c>
      <c r="D41" s="13">
        <v>6.1</v>
      </c>
      <c r="E41" s="13">
        <v>4.9000000000000004</v>
      </c>
      <c r="F41" s="13">
        <v>6.4</v>
      </c>
      <c r="G41" s="13">
        <v>5.0999999999999996</v>
      </c>
      <c r="H41" s="13">
        <v>6.1</v>
      </c>
      <c r="I41" s="13">
        <v>4.5999999999999996</v>
      </c>
      <c r="J41" s="13">
        <v>4.5</v>
      </c>
      <c r="K41" s="14">
        <v>6.3</v>
      </c>
      <c r="L41" s="14">
        <v>5.6</v>
      </c>
      <c r="M41" s="14">
        <v>6</v>
      </c>
    </row>
    <row r="42" spans="1:13" x14ac:dyDescent="0.3">
      <c r="A42" s="11">
        <v>2015</v>
      </c>
      <c r="B42" s="13">
        <v>7.8</v>
      </c>
      <c r="C42" s="13">
        <v>5</v>
      </c>
      <c r="D42" s="13">
        <v>6.1</v>
      </c>
      <c r="E42" s="13">
        <v>4.4000000000000004</v>
      </c>
      <c r="F42" s="13">
        <v>5.4</v>
      </c>
      <c r="G42" s="13">
        <v>3.5</v>
      </c>
      <c r="H42" s="13">
        <v>6.2</v>
      </c>
      <c r="I42" s="13">
        <v>3.9</v>
      </c>
      <c r="J42" s="13">
        <v>3.8</v>
      </c>
      <c r="K42" s="14">
        <v>5.0999999999999996</v>
      </c>
      <c r="L42" s="14">
        <v>6</v>
      </c>
      <c r="M42" s="14">
        <v>6.1</v>
      </c>
    </row>
    <row r="43" spans="1:13" x14ac:dyDescent="0.3">
      <c r="A43" s="11">
        <v>2016</v>
      </c>
      <c r="B43" s="13">
        <v>6.8</v>
      </c>
      <c r="C43" s="13">
        <v>4.8</v>
      </c>
      <c r="D43" s="13">
        <v>5.2</v>
      </c>
      <c r="E43" s="13">
        <v>4.2</v>
      </c>
      <c r="F43" s="13">
        <v>5.5</v>
      </c>
      <c r="G43" s="13">
        <v>4.4000000000000004</v>
      </c>
      <c r="H43" s="13">
        <v>5.6</v>
      </c>
      <c r="I43" s="13">
        <v>3.6</v>
      </c>
      <c r="J43" s="13">
        <v>3.5</v>
      </c>
      <c r="K43" s="14">
        <v>4.3</v>
      </c>
      <c r="L43" s="14">
        <v>4.5999999999999996</v>
      </c>
      <c r="M43" s="14">
        <v>5.8</v>
      </c>
    </row>
    <row r="44" spans="1:13" x14ac:dyDescent="0.3">
      <c r="A44" s="11">
        <v>2017</v>
      </c>
      <c r="B44" s="13">
        <v>5.2</v>
      </c>
      <c r="C44" s="13">
        <v>4.2</v>
      </c>
      <c r="D44" s="13">
        <v>5</v>
      </c>
      <c r="E44" s="13">
        <v>4.0999999999999996</v>
      </c>
      <c r="F44" s="13">
        <v>4.7</v>
      </c>
      <c r="G44" s="13">
        <v>4.2</v>
      </c>
      <c r="H44" s="13">
        <v>5</v>
      </c>
      <c r="I44" s="13">
        <v>3.5</v>
      </c>
      <c r="J44" s="13">
        <v>3.6</v>
      </c>
      <c r="K44" s="14">
        <v>4.8</v>
      </c>
      <c r="L44" s="14">
        <v>4.3</v>
      </c>
      <c r="M44" s="14">
        <v>3.3</v>
      </c>
    </row>
    <row r="45" spans="1:13" x14ac:dyDescent="0.3">
      <c r="A45" s="11">
        <v>2018</v>
      </c>
      <c r="B45" s="13">
        <v>5.0999999999999996</v>
      </c>
      <c r="C45" s="13">
        <v>3.6</v>
      </c>
      <c r="D45" s="13">
        <v>5.2</v>
      </c>
      <c r="E45" s="13">
        <v>4.7</v>
      </c>
      <c r="F45" s="13">
        <v>5.0999999999999996</v>
      </c>
      <c r="G45" s="13">
        <v>3.2</v>
      </c>
      <c r="H45" s="13">
        <v>4.2</v>
      </c>
      <c r="I45" s="13">
        <v>3.1</v>
      </c>
      <c r="J45" s="13">
        <v>2.9</v>
      </c>
      <c r="K45" s="14">
        <v>4.3</v>
      </c>
      <c r="L45" s="14">
        <v>3.4</v>
      </c>
      <c r="M45" s="14">
        <v>3.5</v>
      </c>
    </row>
    <row r="46" spans="1:13" x14ac:dyDescent="0.3">
      <c r="A46" s="11">
        <v>2019</v>
      </c>
      <c r="B46" s="13">
        <v>6.2</v>
      </c>
      <c r="C46" s="13">
        <v>4.3</v>
      </c>
      <c r="D46" s="13">
        <v>4.5</v>
      </c>
      <c r="E46" s="13">
        <v>3.9</v>
      </c>
      <c r="F46" s="13">
        <v>4.4000000000000004</v>
      </c>
      <c r="G46" s="13">
        <v>3.5</v>
      </c>
      <c r="H46" s="13">
        <v>4.5</v>
      </c>
      <c r="I46" s="13">
        <v>3.2</v>
      </c>
      <c r="J46" s="13">
        <v>2.9</v>
      </c>
      <c r="K46" s="14">
        <v>3.3</v>
      </c>
      <c r="L46" s="14">
        <v>3.6</v>
      </c>
      <c r="M46" s="14">
        <v>2.4</v>
      </c>
    </row>
    <row r="47" spans="1:13" x14ac:dyDescent="0.3">
      <c r="A47" s="11">
        <v>2020</v>
      </c>
      <c r="B47" s="13">
        <v>6.2</v>
      </c>
      <c r="C47" s="13">
        <v>5.4</v>
      </c>
      <c r="D47" s="13">
        <v>5.3</v>
      </c>
      <c r="E47" s="13">
        <v>5.4</v>
      </c>
      <c r="F47" s="13">
        <v>6</v>
      </c>
      <c r="G47" s="13">
        <v>4.2</v>
      </c>
      <c r="H47" s="13">
        <v>7.6</v>
      </c>
      <c r="I47" s="13">
        <v>3.3</v>
      </c>
      <c r="J47" s="13">
        <v>4.4000000000000004</v>
      </c>
      <c r="K47" s="14">
        <v>4.7</v>
      </c>
      <c r="L47" s="14">
        <v>4.4000000000000004</v>
      </c>
      <c r="M47" s="14">
        <v>4.2</v>
      </c>
    </row>
    <row r="48" spans="1:13" x14ac:dyDescent="0.3">
      <c r="A48" s="11">
        <v>2021</v>
      </c>
      <c r="B48" s="13">
        <v>5.8</v>
      </c>
      <c r="C48" s="13">
        <v>4.5999999999999996</v>
      </c>
      <c r="D48" s="13">
        <v>4.2</v>
      </c>
      <c r="E48" s="13">
        <v>3.1</v>
      </c>
      <c r="F48" s="13">
        <v>5</v>
      </c>
      <c r="G48" s="13">
        <v>3.2</v>
      </c>
      <c r="H48" s="13">
        <v>5.4</v>
      </c>
      <c r="I48" s="13">
        <v>3.8</v>
      </c>
      <c r="J48" s="13">
        <v>2.9</v>
      </c>
      <c r="K48" s="14">
        <v>3.1</v>
      </c>
      <c r="L48" s="14">
        <v>3.9</v>
      </c>
      <c r="M48" s="14">
        <v>3.2</v>
      </c>
    </row>
    <row r="49" spans="1:13" x14ac:dyDescent="0.3">
      <c r="A49" s="11">
        <v>2022</v>
      </c>
      <c r="B49" s="13">
        <v>4.7</v>
      </c>
      <c r="C49" s="13">
        <v>3.7</v>
      </c>
      <c r="D49" s="13">
        <v>3.2</v>
      </c>
      <c r="E49" s="13">
        <v>3.7</v>
      </c>
      <c r="F49" s="13">
        <v>4.8</v>
      </c>
      <c r="G49" s="13">
        <v>4</v>
      </c>
      <c r="H49" s="13">
        <v>4.9000000000000004</v>
      </c>
      <c r="I49" s="13">
        <v>3.9</v>
      </c>
      <c r="J49" s="13">
        <v>2.6</v>
      </c>
      <c r="K49" s="14">
        <v>3.5</v>
      </c>
      <c r="L49" s="14">
        <v>3.4</v>
      </c>
      <c r="M49" s="14">
        <v>2.2000000000000002</v>
      </c>
    </row>
    <row r="50" spans="1:13" x14ac:dyDescent="0.3">
      <c r="A50" s="11">
        <v>2023</v>
      </c>
      <c r="B50" s="13">
        <v>4</v>
      </c>
      <c r="C50" s="13">
        <v>4.8</v>
      </c>
      <c r="D50" s="13">
        <v>3.7</v>
      </c>
      <c r="E50" s="13">
        <v>5.2</v>
      </c>
      <c r="F50" s="13">
        <v>4.3</v>
      </c>
      <c r="G50" s="13">
        <v>3.9</v>
      </c>
      <c r="H50" s="13">
        <v>3.8</v>
      </c>
      <c r="I50" s="13">
        <v>4</v>
      </c>
      <c r="J50" s="13">
        <v>3.4</v>
      </c>
      <c r="K50" s="14">
        <v>4.0999999999999996</v>
      </c>
      <c r="L50" s="14">
        <v>4.3</v>
      </c>
      <c r="M50" s="14">
        <v>2.2000000000000002</v>
      </c>
    </row>
    <row r="51" spans="1:13" x14ac:dyDescent="0.3">
      <c r="A51" s="11">
        <v>2024</v>
      </c>
      <c r="B51" s="13">
        <v>4.7</v>
      </c>
      <c r="C51" s="13">
        <v>3.9</v>
      </c>
      <c r="D51" s="13">
        <v>4</v>
      </c>
      <c r="E51" s="13">
        <v>4.2</v>
      </c>
      <c r="F51" s="13">
        <v>4.5</v>
      </c>
      <c r="G51" s="13">
        <v>4.3</v>
      </c>
      <c r="H51" s="13">
        <v>6.3</v>
      </c>
      <c r="I51" s="13">
        <v>4</v>
      </c>
      <c r="J51" s="13">
        <v>3.5</v>
      </c>
      <c r="K51" s="14">
        <v>5.4</v>
      </c>
      <c r="L51" s="14">
        <v>3.7</v>
      </c>
      <c r="M51" s="14">
        <v>1.5</v>
      </c>
    </row>
    <row r="52" spans="1:13" x14ac:dyDescent="0.3">
      <c r="A52" s="11">
        <v>2025</v>
      </c>
      <c r="B52" s="13">
        <v>7.1</v>
      </c>
      <c r="C52" s="13">
        <v>4.7</v>
      </c>
      <c r="D52" s="13">
        <v>6</v>
      </c>
      <c r="E52" s="13">
        <v>5.6</v>
      </c>
      <c r="F52" s="13">
        <v>6.1</v>
      </c>
      <c r="G52" s="13">
        <v>4.3</v>
      </c>
      <c r="H52" s="13">
        <v>7.9</v>
      </c>
      <c r="I52" s="13">
        <v>4</v>
      </c>
      <c r="J52" s="13">
        <v>3.9</v>
      </c>
      <c r="K52" s="14">
        <v>3.5</v>
      </c>
      <c r="L52" s="14">
        <v>3.9</v>
      </c>
      <c r="M52" s="14">
        <v>2.2000000000000002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7435-6ECE-4A15-8C1B-C2BFE3180B88}">
  <dimension ref="A1:J52"/>
  <sheetViews>
    <sheetView workbookViewId="0">
      <selection activeCell="I16" sqref="I16"/>
    </sheetView>
  </sheetViews>
  <sheetFormatPr defaultRowHeight="14.4" x14ac:dyDescent="0.3"/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>
        <v>1975</v>
      </c>
      <c r="B2">
        <f>unemp!B2-AVERAGE(unemp!B$2:B$52)</f>
        <v>-4.4058823529411777</v>
      </c>
      <c r="C2">
        <f>unemp!C2-AVERAGE(unemp!C$2:C$52)</f>
        <v>-3.2882352941176496</v>
      </c>
      <c r="D2">
        <f>unemp!D2-AVERAGE(unemp!D$2:D$52)</f>
        <v>-4.052941176470588</v>
      </c>
      <c r="E2">
        <f>unemp!E2-AVERAGE(unemp!E$2:E$52)</f>
        <v>-3.2294117647058806</v>
      </c>
      <c r="F2">
        <f>unemp!F2-AVERAGE(unemp!F$2:F$52)</f>
        <v>-4.1372549019607838</v>
      </c>
      <c r="G2">
        <f>unemp!G2-AVERAGE(unemp!G$2:G$52)</f>
        <v>-2.8039215686274499</v>
      </c>
      <c r="H2">
        <f>unemp!H2-AVERAGE(unemp!H$2:H$52)</f>
        <v>-5.0156862745098039</v>
      </c>
      <c r="I2">
        <f>unemp!I2-AVERAGE(unemp!I$2:I$52)</f>
        <v>-2.5019607843137264</v>
      </c>
      <c r="J2">
        <f>unemp!J2-AVERAGE(unemp!J$2:J$52)</f>
        <v>-1.8431372549019613</v>
      </c>
    </row>
    <row r="3" spans="1:10" x14ac:dyDescent="0.3">
      <c r="A3">
        <v>1976</v>
      </c>
      <c r="B3">
        <f>unemp!B3-AVERAGE(unemp!B$2:B$52)</f>
        <v>-3.3058823529411772</v>
      </c>
      <c r="C3">
        <f>unemp!C3-AVERAGE(unemp!C$2:C$52)</f>
        <v>-2.2882352941176496</v>
      </c>
      <c r="D3">
        <f>unemp!D3-AVERAGE(unemp!D$2:D$52)</f>
        <v>-3.052941176470588</v>
      </c>
      <c r="E3">
        <f>unemp!E3-AVERAGE(unemp!E$2:E$52)</f>
        <v>-2.5294117647058805</v>
      </c>
      <c r="F3">
        <f>unemp!F3-AVERAGE(unemp!F$2:F$52)</f>
        <v>-3.0372549019607842</v>
      </c>
      <c r="G3">
        <f>unemp!G3-AVERAGE(unemp!G$2:G$52)</f>
        <v>-1.90392156862745</v>
      </c>
      <c r="H3">
        <f>unemp!H3-AVERAGE(unemp!H$2:H$52)</f>
        <v>-3.8156862745098032</v>
      </c>
      <c r="I3">
        <f>unemp!I3-AVERAGE(unemp!I$2:I$52)</f>
        <v>-1.7019607843137265</v>
      </c>
      <c r="J3">
        <f>unemp!J3-AVERAGE(unemp!J$2:J$52)</f>
        <v>-0.7431372549019617</v>
      </c>
    </row>
    <row r="4" spans="1:10" x14ac:dyDescent="0.3">
      <c r="A4">
        <v>1977</v>
      </c>
      <c r="B4">
        <f>unemp!B4-AVERAGE(unemp!B$2:B$52)</f>
        <v>-2.7058823529411775</v>
      </c>
      <c r="C4">
        <f>unemp!C4-AVERAGE(unemp!C$2:C$52)</f>
        <v>-2.1882352941176499</v>
      </c>
      <c r="D4">
        <f>unemp!D4-AVERAGE(unemp!D$2:D$52)</f>
        <v>-2.9529411764705884</v>
      </c>
      <c r="E4">
        <f>unemp!E4-AVERAGE(unemp!E$2:E$52)</f>
        <v>-2.3294117647058807</v>
      </c>
      <c r="F4">
        <f>unemp!F4-AVERAGE(unemp!F$2:F$52)</f>
        <v>-3.1372549019607843</v>
      </c>
      <c r="G4">
        <f>unemp!G4-AVERAGE(unemp!G$2:G$52)</f>
        <v>-1.7039215686274503</v>
      </c>
      <c r="H4">
        <f>unemp!H4-AVERAGE(unemp!H$2:H$52)</f>
        <v>-3.7156862745098032</v>
      </c>
      <c r="I4">
        <f>unemp!I4-AVERAGE(unemp!I$2:I$52)</f>
        <v>-1.5019607843137264</v>
      </c>
      <c r="J4">
        <f>unemp!J4-AVERAGE(unemp!J$2:J$52)</f>
        <v>-0.54313725490196152</v>
      </c>
    </row>
    <row r="5" spans="1:10" x14ac:dyDescent="0.3">
      <c r="A5">
        <v>1978</v>
      </c>
      <c r="B5">
        <f>unemp!B5-AVERAGE(unemp!B$2:B$52)</f>
        <v>-2.2058823529411775</v>
      </c>
      <c r="C5">
        <f>unemp!C5-AVERAGE(unemp!C$2:C$52)</f>
        <v>-2.1882352941176499</v>
      </c>
      <c r="D5">
        <f>unemp!D5-AVERAGE(unemp!D$2:D$52)</f>
        <v>-2.7529411764705882</v>
      </c>
      <c r="E5">
        <f>unemp!E5-AVERAGE(unemp!E$2:E$52)</f>
        <v>-2.3294117647058807</v>
      </c>
      <c r="F5">
        <f>unemp!F5-AVERAGE(unemp!F$2:F$52)</f>
        <v>-3.2372549019607844</v>
      </c>
      <c r="G5">
        <f>unemp!G5-AVERAGE(unemp!G$2:G$52)</f>
        <v>-2.0039215686274501</v>
      </c>
      <c r="H5">
        <f>unemp!H5-AVERAGE(unemp!H$2:H$52)</f>
        <v>-4.0156862745098039</v>
      </c>
      <c r="I5">
        <f>unemp!I5-AVERAGE(unemp!I$2:I$52)</f>
        <v>-1.8019607843137262</v>
      </c>
      <c r="J5">
        <f>unemp!J5-AVERAGE(unemp!J$2:J$52)</f>
        <v>-0.84313725490196134</v>
      </c>
    </row>
    <row r="6" spans="1:10" x14ac:dyDescent="0.3">
      <c r="A6">
        <v>1979</v>
      </c>
      <c r="B6">
        <f>unemp!B6-AVERAGE(unemp!B$2:B$52)</f>
        <v>-2.2058823529411775</v>
      </c>
      <c r="C6">
        <f>unemp!C6-AVERAGE(unemp!C$2:C$52)</f>
        <v>-2.3882352941176501</v>
      </c>
      <c r="D6">
        <f>unemp!D6-AVERAGE(unemp!D$2:D$52)</f>
        <v>-2.9529411764705884</v>
      </c>
      <c r="E6">
        <f>unemp!E6-AVERAGE(unemp!E$2:E$52)</f>
        <v>-2.6294117647058806</v>
      </c>
      <c r="F6">
        <f>unemp!F6-AVERAGE(unemp!F$2:F$52)</f>
        <v>-3.337254901960784</v>
      </c>
      <c r="G6">
        <f>unemp!G6-AVERAGE(unemp!G$2:G$52)</f>
        <v>-2.40392156862745</v>
      </c>
      <c r="H6">
        <f>unemp!H6-AVERAGE(unemp!H$2:H$52)</f>
        <v>-4.4156862745098033</v>
      </c>
      <c r="I6">
        <f>unemp!I6-AVERAGE(unemp!I$2:I$52)</f>
        <v>-2.3019607843137262</v>
      </c>
      <c r="J6">
        <f>unemp!J6-AVERAGE(unemp!J$2:J$52)</f>
        <v>-1.3431372549019613</v>
      </c>
    </row>
    <row r="7" spans="1:10" x14ac:dyDescent="0.3">
      <c r="A7">
        <v>1980</v>
      </c>
      <c r="B7">
        <f>unemp!B7-AVERAGE(unemp!B$2:B$52)</f>
        <v>-0.70588235294117752</v>
      </c>
      <c r="C7">
        <f>unemp!C7-AVERAGE(unemp!C$2:C$52)</f>
        <v>-0.98823529411764977</v>
      </c>
      <c r="D7">
        <f>unemp!D7-AVERAGE(unemp!D$2:D$52)</f>
        <v>-1.7529411764705882</v>
      </c>
      <c r="E7">
        <f>unemp!E7-AVERAGE(unemp!E$2:E$52)</f>
        <v>-1.5294117647058805</v>
      </c>
      <c r="F7">
        <f>unemp!F7-AVERAGE(unemp!F$2:F$52)</f>
        <v>-1.837254901960784</v>
      </c>
      <c r="G7">
        <f>unemp!G7-AVERAGE(unemp!G$2:G$52)</f>
        <v>-1.8039215686274499</v>
      </c>
      <c r="H7">
        <f>unemp!H7-AVERAGE(unemp!H$2:H$52)</f>
        <v>-3.8156862745098032</v>
      </c>
      <c r="I7">
        <f>unemp!I7-AVERAGE(unemp!I$2:I$52)</f>
        <v>-1.7019607843137265</v>
      </c>
      <c r="J7">
        <f>unemp!J7-AVERAGE(unemp!J$2:J$52)</f>
        <v>-0.84313725490196134</v>
      </c>
    </row>
    <row r="8" spans="1:10" x14ac:dyDescent="0.3">
      <c r="A8">
        <v>1981</v>
      </c>
      <c r="B8">
        <f>unemp!B8-AVERAGE(unemp!B$2:B$52)</f>
        <v>3.0941176470588232</v>
      </c>
      <c r="C8">
        <f>unemp!C8-AVERAGE(unemp!C$2:C$52)</f>
        <v>2.4117647058823506</v>
      </c>
      <c r="D8">
        <f>unemp!D8-AVERAGE(unemp!D$2:D$52)</f>
        <v>1.5470588235294125</v>
      </c>
      <c r="E8">
        <f>unemp!E8-AVERAGE(unemp!E$2:E$52)</f>
        <v>1.1705882352941197</v>
      </c>
      <c r="F8">
        <f>unemp!F8-AVERAGE(unemp!F$2:F$52)</f>
        <v>2.3627450980392162</v>
      </c>
      <c r="G8">
        <f>unemp!G8-AVERAGE(unemp!G$2:G$52)</f>
        <v>0.59607843137254957</v>
      </c>
      <c r="H8">
        <f>unemp!H8-AVERAGE(unemp!H$2:H$52)</f>
        <v>-1.7156862745098032</v>
      </c>
      <c r="I8">
        <f>unemp!I8-AVERAGE(unemp!I$2:I$52)</f>
        <v>0.49803921568627363</v>
      </c>
      <c r="J8">
        <f>unemp!J8-AVERAGE(unemp!J$2:J$52)</f>
        <v>1.1568627450980387</v>
      </c>
    </row>
    <row r="9" spans="1:10" x14ac:dyDescent="0.3">
      <c r="A9">
        <v>1982</v>
      </c>
      <c r="B9">
        <f>unemp!B9-AVERAGE(unemp!B$2:B$52)</f>
        <v>4.7941176470588225</v>
      </c>
      <c r="C9">
        <f>unemp!C9-AVERAGE(unemp!C$2:C$52)</f>
        <v>4.2117647058823495</v>
      </c>
      <c r="D9">
        <f>unemp!D9-AVERAGE(unemp!D$2:D$52)</f>
        <v>3.0470588235294125</v>
      </c>
      <c r="E9">
        <f>unemp!E9-AVERAGE(unemp!E$2:E$52)</f>
        <v>2.2705882352941194</v>
      </c>
      <c r="F9">
        <f>unemp!F9-AVERAGE(unemp!F$2:F$52)</f>
        <v>4.1627450980392151</v>
      </c>
      <c r="G9">
        <f>unemp!G9-AVERAGE(unemp!G$2:G$52)</f>
        <v>1.6960784313725501</v>
      </c>
      <c r="H9">
        <f>unemp!H9-AVERAGE(unemp!H$2:H$52)</f>
        <v>-0.51568627450980298</v>
      </c>
      <c r="I9">
        <f>unemp!I9-AVERAGE(unemp!I$2:I$52)</f>
        <v>1.4980392156862736</v>
      </c>
      <c r="J9">
        <f>unemp!J9-AVERAGE(unemp!J$2:J$52)</f>
        <v>2.1568627450980387</v>
      </c>
    </row>
    <row r="10" spans="1:10" x14ac:dyDescent="0.3">
      <c r="A10">
        <v>1983</v>
      </c>
      <c r="B10">
        <f>unemp!B10-AVERAGE(unemp!B$2:B$52)</f>
        <v>5.9941176470588218</v>
      </c>
      <c r="C10">
        <f>unemp!C10-AVERAGE(unemp!C$2:C$52)</f>
        <v>5.4117647058823506</v>
      </c>
      <c r="D10">
        <f>unemp!D10-AVERAGE(unemp!D$2:D$52)</f>
        <v>4.0470588235294125</v>
      </c>
      <c r="E10">
        <f>unemp!E10-AVERAGE(unemp!E$2:E$52)</f>
        <v>3.1705882352941197</v>
      </c>
      <c r="F10">
        <f>unemp!F10-AVERAGE(unemp!F$2:F$52)</f>
        <v>5.1627450980392151</v>
      </c>
      <c r="G10">
        <f>unemp!G10-AVERAGE(unemp!G$2:G$52)</f>
        <v>2.2960784313725497</v>
      </c>
      <c r="H10">
        <f>unemp!H10-AVERAGE(unemp!H$2:H$52)</f>
        <v>0.48431372549019702</v>
      </c>
      <c r="I10">
        <f>unemp!I10-AVERAGE(unemp!I$2:I$52)</f>
        <v>1.9980392156862736</v>
      </c>
      <c r="J10">
        <f>unemp!J10-AVERAGE(unemp!J$2:J$52)</f>
        <v>3.0568627450980381</v>
      </c>
    </row>
    <row r="11" spans="1:10" x14ac:dyDescent="0.3">
      <c r="A11">
        <v>1984</v>
      </c>
      <c r="B11">
        <f>unemp!B11-AVERAGE(unemp!B$2:B$52)</f>
        <v>6.6941176470588228</v>
      </c>
      <c r="C11">
        <f>unemp!C11-AVERAGE(unemp!C$2:C$52)</f>
        <v>5.6117647058823499</v>
      </c>
      <c r="D11">
        <f>unemp!D11-AVERAGE(unemp!D$2:D$52)</f>
        <v>4.2470588235294118</v>
      </c>
      <c r="E11">
        <f>unemp!E11-AVERAGE(unemp!E$2:E$52)</f>
        <v>3.5705882352941201</v>
      </c>
      <c r="F11">
        <f>unemp!F11-AVERAGE(unemp!F$2:F$52)</f>
        <v>4.8627450980392162</v>
      </c>
      <c r="G11">
        <f>unemp!G11-AVERAGE(unemp!G$2:G$52)</f>
        <v>2.2960784313725497</v>
      </c>
      <c r="H11">
        <f>unemp!H11-AVERAGE(unemp!H$2:H$52)</f>
        <v>0.88431372549019649</v>
      </c>
      <c r="I11">
        <f>unemp!I11-AVERAGE(unemp!I$2:I$52)</f>
        <v>2.0980392156862733</v>
      </c>
      <c r="J11">
        <f>unemp!J11-AVERAGE(unemp!J$2:J$52)</f>
        <v>3.2568627450980392</v>
      </c>
    </row>
    <row r="12" spans="1:10" x14ac:dyDescent="0.3">
      <c r="A12">
        <v>1985</v>
      </c>
      <c r="B12">
        <f>unemp!B12-AVERAGE(unemp!B$2:B$52)</f>
        <v>6.8941176470588221</v>
      </c>
      <c r="C12">
        <f>unemp!C12-AVERAGE(unemp!C$2:C$52)</f>
        <v>5.6117647058823499</v>
      </c>
      <c r="D12">
        <f>unemp!D12-AVERAGE(unemp!D$2:D$52)</f>
        <v>4.5470588235294125</v>
      </c>
      <c r="E12">
        <f>unemp!E12-AVERAGE(unemp!E$2:E$52)</f>
        <v>3.5705882352941201</v>
      </c>
      <c r="F12">
        <f>unemp!F12-AVERAGE(unemp!F$2:F$52)</f>
        <v>5.0627450980392155</v>
      </c>
      <c r="G12">
        <f>unemp!G12-AVERAGE(unemp!G$2:G$52)</f>
        <v>2.4960784313725499</v>
      </c>
      <c r="H12">
        <f>unemp!H12-AVERAGE(unemp!H$2:H$52)</f>
        <v>1.3843137254901974</v>
      </c>
      <c r="I12">
        <f>unemp!I12-AVERAGE(unemp!I$2:I$52)</f>
        <v>2.0980392156862733</v>
      </c>
      <c r="J12">
        <f>unemp!J12-AVERAGE(unemp!J$2:J$52)</f>
        <v>3.5568627450980381</v>
      </c>
    </row>
    <row r="13" spans="1:10" x14ac:dyDescent="0.3">
      <c r="A13">
        <v>1986</v>
      </c>
      <c r="B13">
        <f>unemp!B13-AVERAGE(unemp!B$2:B$52)</f>
        <v>6.8941176470588221</v>
      </c>
      <c r="C13">
        <f>unemp!C13-AVERAGE(unemp!C$2:C$52)</f>
        <v>5.7117647058823495</v>
      </c>
      <c r="D13">
        <f>unemp!D13-AVERAGE(unemp!D$2:D$52)</f>
        <v>5.0470588235294125</v>
      </c>
      <c r="E13">
        <f>unemp!E13-AVERAGE(unemp!E$2:E$52)</f>
        <v>3.6705882352941197</v>
      </c>
      <c r="F13">
        <f>unemp!F13-AVERAGE(unemp!F$2:F$52)</f>
        <v>5.0627450980392155</v>
      </c>
      <c r="G13">
        <f>unemp!G13-AVERAGE(unemp!G$2:G$52)</f>
        <v>2.7960784313725497</v>
      </c>
      <c r="H13">
        <f>unemp!H13-AVERAGE(unemp!H$2:H$52)</f>
        <v>1.6843137254901963</v>
      </c>
      <c r="I13">
        <f>unemp!I13-AVERAGE(unemp!I$2:I$52)</f>
        <v>2.1980392156862738</v>
      </c>
      <c r="J13">
        <f>unemp!J13-AVERAGE(unemp!J$2:J$52)</f>
        <v>3.6568627450980378</v>
      </c>
    </row>
    <row r="14" spans="1:10" x14ac:dyDescent="0.3">
      <c r="A14">
        <v>1987</v>
      </c>
      <c r="B14">
        <f>unemp!B14-AVERAGE(unemp!B$2:B$52)</f>
        <v>5.6941176470588228</v>
      </c>
      <c r="C14">
        <f>unemp!C14-AVERAGE(unemp!C$2:C$52)</f>
        <v>4.5117647058823502</v>
      </c>
      <c r="D14">
        <f>unemp!D14-AVERAGE(unemp!D$2:D$52)</f>
        <v>3.9470588235294111</v>
      </c>
      <c r="E14">
        <f>unemp!E14-AVERAGE(unemp!E$2:E$52)</f>
        <v>2.7705882352941194</v>
      </c>
      <c r="F14">
        <f>unemp!F14-AVERAGE(unemp!F$2:F$52)</f>
        <v>3.7627450980392165</v>
      </c>
      <c r="G14">
        <f>unemp!G14-AVERAGE(unemp!G$2:G$52)</f>
        <v>1.5960784313725496</v>
      </c>
      <c r="H14">
        <f>unemp!H14-AVERAGE(unemp!H$2:H$52)</f>
        <v>0.78431372549019684</v>
      </c>
      <c r="I14">
        <f>unemp!I14-AVERAGE(unemp!I$2:I$52)</f>
        <v>1.0980392156862733</v>
      </c>
      <c r="J14">
        <f>unemp!J14-AVERAGE(unemp!J$2:J$52)</f>
        <v>2.4568627450980385</v>
      </c>
    </row>
    <row r="15" spans="1:10" x14ac:dyDescent="0.3">
      <c r="A15">
        <v>1988</v>
      </c>
      <c r="B15">
        <f>unemp!B15-AVERAGE(unemp!B$2:B$52)</f>
        <v>3.5941176470588232</v>
      </c>
      <c r="C15">
        <f>unemp!C15-AVERAGE(unemp!C$2:C$52)</f>
        <v>2.5117647058823502</v>
      </c>
      <c r="D15">
        <f>unemp!D15-AVERAGE(unemp!D$2:D$52)</f>
        <v>2.0470588235294125</v>
      </c>
      <c r="E15">
        <f>unemp!E15-AVERAGE(unemp!E$2:E$52)</f>
        <v>0.97058823529411953</v>
      </c>
      <c r="F15">
        <f>unemp!F15-AVERAGE(unemp!F$2:F$52)</f>
        <v>1.2627450980392165</v>
      </c>
      <c r="G15">
        <f>unemp!G15-AVERAGE(unemp!G$2:G$52)</f>
        <v>-0.40392156862745043</v>
      </c>
      <c r="H15">
        <f>unemp!H15-AVERAGE(unemp!H$2:H$52)</f>
        <v>-0.71568627450980316</v>
      </c>
      <c r="I15">
        <f>unemp!I15-AVERAGE(unemp!I$2:I$52)</f>
        <v>-0.70196078431372655</v>
      </c>
      <c r="J15">
        <f>unemp!J15-AVERAGE(unemp!J$2:J$52)</f>
        <v>0.65686274509803866</v>
      </c>
    </row>
    <row r="16" spans="1:10" x14ac:dyDescent="0.3">
      <c r="A16">
        <v>1989</v>
      </c>
      <c r="B16">
        <f>unemp!B16-AVERAGE(unemp!B$2:B$52)</f>
        <v>1.5941176470588232</v>
      </c>
      <c r="C16">
        <f>unemp!C16-AVERAGE(unemp!C$2:C$52)</f>
        <v>0.81176470588235006</v>
      </c>
      <c r="D16">
        <f>unemp!D16-AVERAGE(unemp!D$2:D$52)</f>
        <v>0.24705882352941178</v>
      </c>
      <c r="E16">
        <f>unemp!E16-AVERAGE(unemp!E$2:E$52)</f>
        <v>-0.629411764705881</v>
      </c>
      <c r="F16">
        <f>unemp!F16-AVERAGE(unemp!F$2:F$52)</f>
        <v>-0.93725490196078454</v>
      </c>
      <c r="G16">
        <f>unemp!G16-AVERAGE(unemp!G$2:G$52)</f>
        <v>-1.90392156862745</v>
      </c>
      <c r="H16">
        <f>unemp!H16-AVERAGE(unemp!H$2:H$52)</f>
        <v>-2.1156862745098035</v>
      </c>
      <c r="I16">
        <f>unemp!I16-AVERAGE(unemp!I$2:I$52)</f>
        <v>-1.9019607843137263</v>
      </c>
      <c r="J16">
        <f>unemp!J16-AVERAGE(unemp!J$2:J$52)</f>
        <v>-0.94313725490196187</v>
      </c>
    </row>
    <row r="17" spans="1:10" x14ac:dyDescent="0.3">
      <c r="A17">
        <v>1990</v>
      </c>
      <c r="B17">
        <f>unemp!B17-AVERAGE(unemp!B$2:B$52)</f>
        <v>0.39411764705882213</v>
      </c>
      <c r="C17">
        <f>unemp!C17-AVERAGE(unemp!C$2:C$52)</f>
        <v>1.1764705882350235E-2</v>
      </c>
      <c r="D17">
        <f>unemp!D17-AVERAGE(unemp!D$2:D$52)</f>
        <v>-0.55294117647058805</v>
      </c>
      <c r="E17">
        <f>unemp!E17-AVERAGE(unemp!E$2:E$52)</f>
        <v>-1.129411764705881</v>
      </c>
      <c r="F17">
        <f>unemp!F17-AVERAGE(unemp!F$2:F$52)</f>
        <v>-1.6372549019607838</v>
      </c>
      <c r="G17">
        <f>unemp!G17-AVERAGE(unemp!G$2:G$52)</f>
        <v>-0.40392156862745043</v>
      </c>
      <c r="H17">
        <f>unemp!H17-AVERAGE(unemp!H$2:H$52)</f>
        <v>-2.515686274509803</v>
      </c>
      <c r="I17">
        <f>unemp!I17-AVERAGE(unemp!I$2:I$52)</f>
        <v>-2.1019607843137265</v>
      </c>
      <c r="J17">
        <f>unemp!J17-AVERAGE(unemp!J$2:J$52)</f>
        <v>-1.4431372549019614</v>
      </c>
    </row>
    <row r="18" spans="1:10" x14ac:dyDescent="0.3">
      <c r="A18">
        <v>1991</v>
      </c>
      <c r="B18">
        <f>unemp!B18-AVERAGE(unemp!B$2:B$52)</f>
        <v>1.0941176470588232</v>
      </c>
      <c r="C18">
        <f>unemp!C18-AVERAGE(unemp!C$2:C$52)</f>
        <v>0.81176470588235006</v>
      </c>
      <c r="D18">
        <f>unemp!D18-AVERAGE(unemp!D$2:D$52)</f>
        <v>0.5470588235294116</v>
      </c>
      <c r="E18">
        <f>unemp!E18-AVERAGE(unemp!E$2:E$52)</f>
        <v>0.17058823529411971</v>
      </c>
      <c r="F18">
        <f>unemp!F18-AVERAGE(unemp!F$2:F$52)</f>
        <v>-0.337254901960784</v>
      </c>
      <c r="G18">
        <f>unemp!G18-AVERAGE(unemp!G$2:G$52)</f>
        <v>0.89607843137255028</v>
      </c>
      <c r="H18">
        <f>unemp!H18-AVERAGE(unemp!H$2:H$52)</f>
        <v>-0.61568627450980351</v>
      </c>
      <c r="I18">
        <f>unemp!I18-AVERAGE(unemp!I$2:I$52)</f>
        <v>-0.30196078431372619</v>
      </c>
      <c r="J18">
        <f>unemp!J18-AVERAGE(unemp!J$2:J$52)</f>
        <v>0.35686274509803884</v>
      </c>
    </row>
    <row r="19" spans="1:10" x14ac:dyDescent="0.3">
      <c r="A19">
        <v>1992</v>
      </c>
      <c r="B19">
        <f>unemp!B19-AVERAGE(unemp!B$2:B$52)</f>
        <v>4.2941176470588225</v>
      </c>
      <c r="C19">
        <f>unemp!C19-AVERAGE(unemp!C$2:C$52)</f>
        <v>3.9117647058823506</v>
      </c>
      <c r="D19">
        <f>unemp!D19-AVERAGE(unemp!D$2:D$52)</f>
        <v>3.1470588235294121</v>
      </c>
      <c r="E19">
        <f>unemp!E19-AVERAGE(unemp!E$2:E$52)</f>
        <v>3.4705882352941186</v>
      </c>
      <c r="F19">
        <f>unemp!F19-AVERAGE(unemp!F$2:F$52)</f>
        <v>5.0627450980392155</v>
      </c>
      <c r="G19">
        <f>unemp!G19-AVERAGE(unemp!G$2:G$52)</f>
        <v>4.1960784313725492</v>
      </c>
      <c r="H19">
        <f>unemp!H19-AVERAGE(unemp!H$2:H$52)</f>
        <v>6.1843137254901963</v>
      </c>
      <c r="I19">
        <f>unemp!I19-AVERAGE(unemp!I$2:I$52)</f>
        <v>3.9980392156862736</v>
      </c>
      <c r="J19">
        <f>unemp!J19-AVERAGE(unemp!J$2:J$52)</f>
        <v>4.3568627450980388</v>
      </c>
    </row>
    <row r="20" spans="1:10" x14ac:dyDescent="0.3">
      <c r="A20">
        <v>1993</v>
      </c>
      <c r="B20">
        <f>unemp!B20-AVERAGE(unemp!B$2:B$52)</f>
        <v>3.8941176470588221</v>
      </c>
      <c r="C20">
        <f>unemp!C20-AVERAGE(unemp!C$2:C$52)</f>
        <v>3.7117647058823495</v>
      </c>
      <c r="D20">
        <f>unemp!D20-AVERAGE(unemp!D$2:D$52)</f>
        <v>3.4470588235294111</v>
      </c>
      <c r="E20">
        <f>unemp!E20-AVERAGE(unemp!E$2:E$52)</f>
        <v>2.370588235294119</v>
      </c>
      <c r="F20">
        <f>unemp!F20-AVERAGE(unemp!F$2:F$52)</f>
        <v>4.4627450980392158</v>
      </c>
      <c r="G20">
        <f>unemp!G20-AVERAGE(unemp!G$2:G$52)</f>
        <v>4.0960784313725496</v>
      </c>
      <c r="H20">
        <f>unemp!H20-AVERAGE(unemp!H$2:H$52)</f>
        <v>7.1843137254901963</v>
      </c>
      <c r="I20">
        <f>unemp!I20-AVERAGE(unemp!I$2:I$52)</f>
        <v>3.398039215686274</v>
      </c>
      <c r="J20">
        <f>unemp!J20-AVERAGE(unemp!J$2:J$52)</f>
        <v>3.4568627450980385</v>
      </c>
    </row>
    <row r="21" spans="1:10" x14ac:dyDescent="0.3">
      <c r="A21">
        <v>1994</v>
      </c>
      <c r="B21">
        <f>unemp!B21-AVERAGE(unemp!B$2:B$52)</f>
        <v>4.0941176470588232</v>
      </c>
      <c r="C21">
        <f>unemp!C21-AVERAGE(unemp!C$2:C$52)</f>
        <v>2.3117647058823509</v>
      </c>
      <c r="D21">
        <f>unemp!D21-AVERAGE(unemp!D$2:D$52)</f>
        <v>2.3470588235294114</v>
      </c>
      <c r="E21">
        <f>unemp!E21-AVERAGE(unemp!E$2:E$52)</f>
        <v>2.0705882352941192</v>
      </c>
      <c r="F21">
        <f>unemp!F21-AVERAGE(unemp!F$2:F$52)</f>
        <v>1.9627450980392158</v>
      </c>
      <c r="G21">
        <f>unemp!G21-AVERAGE(unemp!G$2:G$52)</f>
        <v>2.1960784313725501</v>
      </c>
      <c r="H21">
        <f>unemp!H21-AVERAGE(unemp!H$2:H$52)</f>
        <v>5.1843137254901963</v>
      </c>
      <c r="I21">
        <f>unemp!I21-AVERAGE(unemp!I$2:I$52)</f>
        <v>2.1980392156862738</v>
      </c>
      <c r="J21">
        <f>unemp!J21-AVERAGE(unemp!J$2:J$52)</f>
        <v>2.2568627450980383</v>
      </c>
    </row>
    <row r="22" spans="1:10" x14ac:dyDescent="0.3">
      <c r="A22">
        <v>1995</v>
      </c>
      <c r="B22">
        <f>unemp!B22-AVERAGE(unemp!B$2:B$52)</f>
        <v>2.2941176470588225</v>
      </c>
      <c r="C22">
        <f>unemp!C22-AVERAGE(unemp!C$2:C$52)</f>
        <v>1.5117647058823502</v>
      </c>
      <c r="D22">
        <f>unemp!D22-AVERAGE(unemp!D$2:D$52)</f>
        <v>1.3470588235294114</v>
      </c>
      <c r="E22">
        <f>unemp!E22-AVERAGE(unemp!E$2:E$52)</f>
        <v>1.5705882352941192</v>
      </c>
      <c r="F22">
        <f>unemp!F22-AVERAGE(unemp!F$2:F$52)</f>
        <v>1.5627450980392155</v>
      </c>
      <c r="G22">
        <f>unemp!G22-AVERAGE(unemp!G$2:G$52)</f>
        <v>2.0960784313725496</v>
      </c>
      <c r="H22">
        <f>unemp!H22-AVERAGE(unemp!H$2:H$52)</f>
        <v>4.484313725490197</v>
      </c>
      <c r="I22">
        <f>unemp!I22-AVERAGE(unemp!I$2:I$52)</f>
        <v>1.9980392156862736</v>
      </c>
      <c r="J22">
        <f>unemp!J22-AVERAGE(unemp!J$2:J$52)</f>
        <v>2.2568627450980383</v>
      </c>
    </row>
    <row r="23" spans="1:10" x14ac:dyDescent="0.3">
      <c r="A23">
        <v>1996</v>
      </c>
      <c r="B23">
        <f>unemp!B23-AVERAGE(unemp!B$2:B$52)</f>
        <v>0.89411764705882213</v>
      </c>
      <c r="C23">
        <f>unemp!C23-AVERAGE(unemp!C$2:C$52)</f>
        <v>0.51176470588235023</v>
      </c>
      <c r="D23">
        <f>unemp!D23-AVERAGE(unemp!D$2:D$52)</f>
        <v>1.7470588235294118</v>
      </c>
      <c r="E23">
        <f>unemp!E23-AVERAGE(unemp!E$2:E$52)</f>
        <v>0.97058823529411953</v>
      </c>
      <c r="F23">
        <f>unemp!F23-AVERAGE(unemp!F$2:F$52)</f>
        <v>0.26274509803921564</v>
      </c>
      <c r="G23">
        <f>unemp!G23-AVERAGE(unemp!G$2:G$52)</f>
        <v>1.4960784313725499</v>
      </c>
      <c r="H23">
        <f>unemp!H23-AVERAGE(unemp!H$2:H$52)</f>
        <v>3.984313725490197</v>
      </c>
      <c r="I23">
        <f>unemp!I23-AVERAGE(unemp!I$2:I$52)</f>
        <v>0.69803921568627381</v>
      </c>
      <c r="J23">
        <f>unemp!J23-AVERAGE(unemp!J$2:J$52)</f>
        <v>1.1568627450980387</v>
      </c>
    </row>
    <row r="24" spans="1:10" x14ac:dyDescent="0.3">
      <c r="A24">
        <v>1997</v>
      </c>
      <c r="B24">
        <f>unemp!B24-AVERAGE(unemp!B$2:B$52)</f>
        <v>-0.70588235294117752</v>
      </c>
      <c r="C24">
        <f>unemp!C24-AVERAGE(unemp!C$2:C$52)</f>
        <v>-0.28823529411764959</v>
      </c>
      <c r="D24">
        <f>unemp!D24-AVERAGE(unemp!D$2:D$52)</f>
        <v>0.24705882352941178</v>
      </c>
      <c r="E24">
        <f>unemp!E24-AVERAGE(unemp!E$2:E$52)</f>
        <v>-0.72941176470588065</v>
      </c>
      <c r="F24">
        <f>unemp!F24-AVERAGE(unemp!F$2:F$52)</f>
        <v>-0.23725490196078436</v>
      </c>
      <c r="G24">
        <f>unemp!G24-AVERAGE(unemp!G$2:G$52)</f>
        <v>9.6078431372549566E-2</v>
      </c>
      <c r="H24">
        <f>unemp!H24-AVERAGE(unemp!H$2:H$52)</f>
        <v>2.1843137254901963</v>
      </c>
      <c r="I24">
        <f>unemp!I24-AVERAGE(unemp!I$2:I$52)</f>
        <v>-0.20196078431372655</v>
      </c>
      <c r="J24">
        <f>unemp!J24-AVERAGE(unemp!J$2:J$52)</f>
        <v>5.6862745098038125E-2</v>
      </c>
    </row>
    <row r="25" spans="1:10" x14ac:dyDescent="0.3">
      <c r="A25">
        <v>1998</v>
      </c>
      <c r="B25">
        <f>unemp!B25-AVERAGE(unemp!B$2:B$52)</f>
        <v>0.89411764705882213</v>
      </c>
      <c r="C25">
        <f>unemp!C25-AVERAGE(unemp!C$2:C$52)</f>
        <v>0.21176470588235041</v>
      </c>
      <c r="D25">
        <f>unemp!D25-AVERAGE(unemp!D$2:D$52)</f>
        <v>0.14705882352941213</v>
      </c>
      <c r="E25">
        <f>unemp!E25-AVERAGE(unemp!E$2:E$52)</f>
        <v>-0.72941176470588065</v>
      </c>
      <c r="F25">
        <f>unemp!F25-AVERAGE(unemp!F$2:F$52)</f>
        <v>-0.53725490196078418</v>
      </c>
      <c r="G25">
        <f>unemp!G25-AVERAGE(unemp!G$2:G$52)</f>
        <v>-0.50392156862745008</v>
      </c>
      <c r="H25">
        <f>unemp!H25-AVERAGE(unemp!H$2:H$52)</f>
        <v>0.88431372549019649</v>
      </c>
      <c r="I25">
        <f>unemp!I25-AVERAGE(unemp!I$2:I$52)</f>
        <v>-0.50196078431372637</v>
      </c>
      <c r="J25">
        <f>unemp!J25-AVERAGE(unemp!J$2:J$52)</f>
        <v>-0.44313725490196187</v>
      </c>
    </row>
    <row r="26" spans="1:10" x14ac:dyDescent="0.3">
      <c r="A26">
        <v>1999</v>
      </c>
      <c r="B26">
        <f>unemp!B26-AVERAGE(unemp!B$2:B$52)</f>
        <v>-0.30588235294117716</v>
      </c>
      <c r="C26">
        <f>unemp!C26-AVERAGE(unemp!C$2:C$52)</f>
        <v>-0.68823529411764994</v>
      </c>
      <c r="D26">
        <f>unemp!D26-AVERAGE(unemp!D$2:D$52)</f>
        <v>-0.4529411764705884</v>
      </c>
      <c r="E26">
        <f>unemp!E26-AVERAGE(unemp!E$2:E$52)</f>
        <v>-0.22941176470588065</v>
      </c>
      <c r="F26">
        <f>unemp!F26-AVERAGE(unemp!F$2:F$52)</f>
        <v>-0.43725490196078454</v>
      </c>
      <c r="G26">
        <f>unemp!G26-AVERAGE(unemp!G$2:G$52)</f>
        <v>-0.8039215686274499</v>
      </c>
      <c r="H26">
        <f>unemp!H26-AVERAGE(unemp!H$2:H$52)</f>
        <v>0.18431372549019631</v>
      </c>
      <c r="I26">
        <f>unemp!I26-AVERAGE(unemp!I$2:I$52)</f>
        <v>-0.60196078431372646</v>
      </c>
      <c r="J26">
        <f>unemp!J26-AVERAGE(unemp!J$2:J$52)</f>
        <v>-0.7431372549019617</v>
      </c>
    </row>
    <row r="27" spans="1:10" x14ac:dyDescent="0.3">
      <c r="A27">
        <v>2000</v>
      </c>
      <c r="B27">
        <f>unemp!B27-AVERAGE(unemp!B$2:B$52)</f>
        <v>-1.2058823529411775</v>
      </c>
      <c r="C27">
        <f>unemp!C27-AVERAGE(unemp!C$2:C$52)</f>
        <v>-1.6882352941176499</v>
      </c>
      <c r="D27">
        <f>unemp!D27-AVERAGE(unemp!D$2:D$52)</f>
        <v>-0.9529411764705884</v>
      </c>
      <c r="E27">
        <f>unemp!E27-AVERAGE(unemp!E$2:E$52)</f>
        <v>-0.82941176470588029</v>
      </c>
      <c r="F27">
        <f>unemp!F27-AVERAGE(unemp!F$2:F$52)</f>
        <v>-1.1372549019607838</v>
      </c>
      <c r="G27">
        <f>unemp!G27-AVERAGE(unemp!G$2:G$52)</f>
        <v>-1.6039215686274502</v>
      </c>
      <c r="H27">
        <f>unemp!H27-AVERAGE(unemp!H$2:H$52)</f>
        <v>-0.11568627450980351</v>
      </c>
      <c r="I27">
        <f>unemp!I27-AVERAGE(unemp!I$2:I$52)</f>
        <v>-1.3019607843137262</v>
      </c>
      <c r="J27">
        <f>unemp!J27-AVERAGE(unemp!J$2:J$52)</f>
        <v>-1.2431372549019617</v>
      </c>
    </row>
    <row r="28" spans="1:10" x14ac:dyDescent="0.3">
      <c r="A28">
        <v>2001</v>
      </c>
      <c r="B28">
        <f>unemp!B28-AVERAGE(unemp!B$2:B$52)</f>
        <v>-1.6058823529411779</v>
      </c>
      <c r="C28">
        <f>unemp!C28-AVERAGE(unemp!C$2:C$52)</f>
        <v>-1.6882352941176499</v>
      </c>
      <c r="D28">
        <f>unemp!D28-AVERAGE(unemp!D$2:D$52)</f>
        <v>-1.552941176470588</v>
      </c>
      <c r="E28">
        <f>unemp!E28-AVERAGE(unemp!E$2:E$52)</f>
        <v>-1.5294117647058805</v>
      </c>
      <c r="F28">
        <f>unemp!F28-AVERAGE(unemp!F$2:F$52)</f>
        <v>-1.337254901960784</v>
      </c>
      <c r="G28">
        <f>unemp!G28-AVERAGE(unemp!G$2:G$52)</f>
        <v>-1.2039215686274503</v>
      </c>
      <c r="H28">
        <f>unemp!H28-AVERAGE(unemp!H$2:H$52)</f>
        <v>0.28431372549019684</v>
      </c>
      <c r="I28">
        <f>unemp!I28-AVERAGE(unemp!I$2:I$52)</f>
        <v>-1.1019607843137265</v>
      </c>
      <c r="J28">
        <f>unemp!J28-AVERAGE(unemp!J$2:J$52)</f>
        <v>-1.2431372549019617</v>
      </c>
    </row>
    <row r="29" spans="1:10" x14ac:dyDescent="0.3">
      <c r="A29">
        <v>2002</v>
      </c>
      <c r="B29">
        <f>unemp!B29-AVERAGE(unemp!B$2:B$52)</f>
        <v>-2.3058823529411772</v>
      </c>
      <c r="C29">
        <f>unemp!C29-AVERAGE(unemp!C$2:C$52)</f>
        <v>-2.1882352941176499</v>
      </c>
      <c r="D29">
        <f>unemp!D29-AVERAGE(unemp!D$2:D$52)</f>
        <v>-1.9529411764705884</v>
      </c>
      <c r="E29">
        <f>unemp!E29-AVERAGE(unemp!E$2:E$52)</f>
        <v>-1.4294117647058808</v>
      </c>
      <c r="F29">
        <f>unemp!F29-AVERAGE(unemp!F$2:F$52)</f>
        <v>-1.2372549019607844</v>
      </c>
      <c r="G29">
        <f>unemp!G29-AVERAGE(unemp!G$2:G$52)</f>
        <v>-0.8039215686274499</v>
      </c>
      <c r="H29">
        <f>unemp!H29-AVERAGE(unemp!H$2:H$52)</f>
        <v>-0.11568627450980351</v>
      </c>
      <c r="I29">
        <f>unemp!I29-AVERAGE(unemp!I$2:I$52)</f>
        <v>-0.60196078431372646</v>
      </c>
      <c r="J29">
        <f>unemp!J29-AVERAGE(unemp!J$2:J$52)</f>
        <v>-1.2431372549019617</v>
      </c>
    </row>
    <row r="30" spans="1:10" x14ac:dyDescent="0.3">
      <c r="A30">
        <v>2003</v>
      </c>
      <c r="B30">
        <f>unemp!B30-AVERAGE(unemp!B$2:B$52)</f>
        <v>-2.6058823529411779</v>
      </c>
      <c r="C30">
        <f>unemp!C30-AVERAGE(unemp!C$2:C$52)</f>
        <v>-2.0882352941176494</v>
      </c>
      <c r="D30">
        <f>unemp!D30-AVERAGE(unemp!D$2:D$52)</f>
        <v>-1.7529411764705882</v>
      </c>
      <c r="E30">
        <f>unemp!E30-AVERAGE(unemp!E$2:E$52)</f>
        <v>-1.2294117647058806</v>
      </c>
      <c r="F30">
        <f>unemp!F30-AVERAGE(unemp!F$2:F$52)</f>
        <v>-1.5372549019607842</v>
      </c>
      <c r="G30">
        <f>unemp!G30-AVERAGE(unemp!G$2:G$52)</f>
        <v>-1.7039215686274503</v>
      </c>
      <c r="H30">
        <f>unemp!H30-AVERAGE(unemp!H$2:H$52)</f>
        <v>-1.5686274509802978E-2</v>
      </c>
      <c r="I30">
        <f>unemp!I30-AVERAGE(unemp!I$2:I$52)</f>
        <v>-0.80196078431372619</v>
      </c>
      <c r="J30">
        <f>unemp!J30-AVERAGE(unemp!J$2:J$52)</f>
        <v>-2.2431372549019617</v>
      </c>
    </row>
    <row r="31" spans="1:10" x14ac:dyDescent="0.3">
      <c r="A31">
        <v>2004</v>
      </c>
      <c r="B31">
        <f>unemp!B31-AVERAGE(unemp!B$2:B$52)</f>
        <v>-3.2058823529411775</v>
      </c>
      <c r="C31">
        <f>unemp!C31-AVERAGE(unemp!C$2:C$52)</f>
        <v>-2.3882352941176501</v>
      </c>
      <c r="D31">
        <f>unemp!D31-AVERAGE(unemp!D$2:D$52)</f>
        <v>-2.2529411764705882</v>
      </c>
      <c r="E31">
        <f>unemp!E31-AVERAGE(unemp!E$2:E$52)</f>
        <v>-1.5294117647058805</v>
      </c>
      <c r="F31">
        <f>unemp!F31-AVERAGE(unemp!F$2:F$52)</f>
        <v>-2.2372549019607844</v>
      </c>
      <c r="G31">
        <f>unemp!G31-AVERAGE(unemp!G$2:G$52)</f>
        <v>-1.1039215686274502</v>
      </c>
      <c r="H31">
        <f>unemp!H31-AVERAGE(unemp!H$2:H$52)</f>
        <v>8.4313725490196667E-2</v>
      </c>
      <c r="I31">
        <f>unemp!I31-AVERAGE(unemp!I$2:I$52)</f>
        <v>-0.70196078431372655</v>
      </c>
      <c r="J31">
        <f>unemp!J31-AVERAGE(unemp!J$2:J$52)</f>
        <v>-1.4431372549019614</v>
      </c>
    </row>
    <row r="32" spans="1:10" x14ac:dyDescent="0.3">
      <c r="A32">
        <v>2005</v>
      </c>
      <c r="B32">
        <f>unemp!B32-AVERAGE(unemp!B$2:B$52)</f>
        <v>-2.1058823529411779</v>
      </c>
      <c r="C32">
        <f>unemp!C32-AVERAGE(unemp!C$2:C$52)</f>
        <v>-1.9882352941176498</v>
      </c>
      <c r="D32">
        <f>unemp!D32-AVERAGE(unemp!D$2:D$52)</f>
        <v>-1.552941176470588</v>
      </c>
      <c r="E32">
        <f>unemp!E32-AVERAGE(unemp!E$2:E$52)</f>
        <v>-1.129411764705881</v>
      </c>
      <c r="F32">
        <f>unemp!F32-AVERAGE(unemp!F$2:F$52)</f>
        <v>-1.6372549019607838</v>
      </c>
      <c r="G32">
        <f>unemp!G32-AVERAGE(unemp!G$2:G$52)</f>
        <v>-0.3039215686274499</v>
      </c>
      <c r="H32">
        <f>unemp!H32-AVERAGE(unemp!H$2:H$52)</f>
        <v>0.28431372549019684</v>
      </c>
      <c r="I32">
        <f>unemp!I32-AVERAGE(unemp!I$2:I$52)</f>
        <v>-0.50196078431372637</v>
      </c>
      <c r="J32">
        <f>unemp!J32-AVERAGE(unemp!J$2:J$52)</f>
        <v>-1.0431372549019615</v>
      </c>
    </row>
    <row r="33" spans="1:10" x14ac:dyDescent="0.3">
      <c r="A33">
        <v>2006</v>
      </c>
      <c r="B33">
        <f>unemp!B33-AVERAGE(unemp!B$2:B$52)</f>
        <v>-2.6058823529411779</v>
      </c>
      <c r="C33">
        <f>unemp!C33-AVERAGE(unemp!C$2:C$52)</f>
        <v>-1.3882352941176501</v>
      </c>
      <c r="D33">
        <f>unemp!D33-AVERAGE(unemp!D$2:D$52)</f>
        <v>-0.75294117647058822</v>
      </c>
      <c r="E33">
        <f>unemp!E33-AVERAGE(unemp!E$2:E$52)</f>
        <v>-0.22941176470588065</v>
      </c>
      <c r="F33">
        <f>unemp!F33-AVERAGE(unemp!F$2:F$52)</f>
        <v>-0.337254901960784</v>
      </c>
      <c r="G33">
        <f>unemp!G33-AVERAGE(unemp!G$2:G$52)</f>
        <v>-0.3039215686274499</v>
      </c>
      <c r="H33">
        <f>unemp!H33-AVERAGE(unemp!H$2:H$52)</f>
        <v>0.58431372549019667</v>
      </c>
      <c r="I33">
        <f>unemp!I33-AVERAGE(unemp!I$2:I$52)</f>
        <v>-1.9607843137263714E-3</v>
      </c>
      <c r="J33">
        <f>unemp!J33-AVERAGE(unemp!J$2:J$52)</f>
        <v>-0.94313725490196187</v>
      </c>
    </row>
    <row r="34" spans="1:10" x14ac:dyDescent="0.3">
      <c r="A34">
        <v>2007</v>
      </c>
      <c r="B34">
        <f>unemp!B34-AVERAGE(unemp!B$2:B$52)</f>
        <v>-3.1058823529411779</v>
      </c>
      <c r="C34">
        <f>unemp!C34-AVERAGE(unemp!C$2:C$52)</f>
        <v>-1.0882352941176494</v>
      </c>
      <c r="D34">
        <f>unemp!D34-AVERAGE(unemp!D$2:D$52)</f>
        <v>-1.6529411764705886</v>
      </c>
      <c r="E34">
        <f>unemp!E34-AVERAGE(unemp!E$2:E$52)</f>
        <v>-0.32941176470588029</v>
      </c>
      <c r="F34">
        <f>unemp!F34-AVERAGE(unemp!F$2:F$52)</f>
        <v>-1.337254901960784</v>
      </c>
      <c r="G34">
        <f>unemp!G34-AVERAGE(unemp!G$2:G$52)</f>
        <v>-0.60392156862744972</v>
      </c>
      <c r="H34">
        <f>unemp!H34-AVERAGE(unemp!H$2:H$52)</f>
        <v>8.4313725490196667E-2</v>
      </c>
      <c r="I34">
        <f>unemp!I34-AVERAGE(unemp!I$2:I$52)</f>
        <v>-0.10196078431372602</v>
      </c>
      <c r="J34">
        <f>unemp!J34-AVERAGE(unemp!J$2:J$52)</f>
        <v>-1.4431372549019614</v>
      </c>
    </row>
    <row r="35" spans="1:10" x14ac:dyDescent="0.3">
      <c r="A35">
        <v>2008</v>
      </c>
      <c r="B35">
        <f>unemp!B35-AVERAGE(unemp!B$2:B$52)</f>
        <v>-0.50588235294117823</v>
      </c>
      <c r="C35">
        <f>unemp!C35-AVERAGE(unemp!C$2:C$52)</f>
        <v>0.71176470588235041</v>
      </c>
      <c r="D35">
        <f>unemp!D35-AVERAGE(unemp!D$2:D$52)</f>
        <v>0.44705882352941195</v>
      </c>
      <c r="E35">
        <f>unemp!E35-AVERAGE(unemp!E$2:E$52)</f>
        <v>0.57058823529411917</v>
      </c>
      <c r="F35">
        <f>unemp!F35-AVERAGE(unemp!F$2:F$52)</f>
        <v>1.0627450980392155</v>
      </c>
      <c r="G35">
        <f>unemp!G35-AVERAGE(unemp!G$2:G$52)</f>
        <v>0.6960784313725501</v>
      </c>
      <c r="H35">
        <f>unemp!H35-AVERAGE(unemp!H$2:H$52)</f>
        <v>0.78431372549019684</v>
      </c>
      <c r="I35">
        <f>unemp!I35-AVERAGE(unemp!I$2:I$52)</f>
        <v>0.29803921568627345</v>
      </c>
      <c r="J35">
        <f>unemp!J35-AVERAGE(unemp!J$2:J$52)</f>
        <v>0.15686274509803866</v>
      </c>
    </row>
    <row r="36" spans="1:10" x14ac:dyDescent="0.3">
      <c r="A36">
        <v>2009</v>
      </c>
      <c r="B36">
        <f>unemp!B36-AVERAGE(unemp!B$2:B$52)</f>
        <v>0.69411764705882284</v>
      </c>
      <c r="C36">
        <f>unemp!C36-AVERAGE(unemp!C$2:C$52)</f>
        <v>1.5117647058823502</v>
      </c>
      <c r="D36">
        <f>unemp!D36-AVERAGE(unemp!D$2:D$52)</f>
        <v>1.8470588235294114</v>
      </c>
      <c r="E36">
        <f>unemp!E36-AVERAGE(unemp!E$2:E$52)</f>
        <v>1.4705882352941195</v>
      </c>
      <c r="F36">
        <f>unemp!F36-AVERAGE(unemp!F$2:F$52)</f>
        <v>2.0627450980392155</v>
      </c>
      <c r="G36">
        <f>unemp!G36-AVERAGE(unemp!G$2:G$52)</f>
        <v>1.5960784313725496</v>
      </c>
      <c r="H36">
        <f>unemp!H36-AVERAGE(unemp!H$2:H$52)</f>
        <v>1.984313725490197</v>
      </c>
      <c r="I36">
        <f>unemp!I36-AVERAGE(unemp!I$2:I$52)</f>
        <v>1.4980392156862736</v>
      </c>
      <c r="J36">
        <f>unemp!J36-AVERAGE(unemp!J$2:J$52)</f>
        <v>1.0568627450980381</v>
      </c>
    </row>
    <row r="37" spans="1:10" x14ac:dyDescent="0.3">
      <c r="A37">
        <v>2010</v>
      </c>
      <c r="B37">
        <f>unemp!B37-AVERAGE(unemp!B$2:B$52)</f>
        <v>1.1941176470588228</v>
      </c>
      <c r="C37">
        <f>unemp!C37-AVERAGE(unemp!C$2:C$52)</f>
        <v>0.61176470588234988</v>
      </c>
      <c r="D37">
        <f>unemp!D37-AVERAGE(unemp!D$2:D$52)</f>
        <v>2.3470588235294114</v>
      </c>
      <c r="E37">
        <f>unemp!E37-AVERAGE(unemp!E$2:E$52)</f>
        <v>2.0705882352941192</v>
      </c>
      <c r="F37">
        <f>unemp!F37-AVERAGE(unemp!F$2:F$52)</f>
        <v>2.7627450980392165</v>
      </c>
      <c r="G37">
        <f>unemp!G37-AVERAGE(unemp!G$2:G$52)</f>
        <v>1.1960784313725501</v>
      </c>
      <c r="H37">
        <f>unemp!H37-AVERAGE(unemp!H$2:H$52)</f>
        <v>2.5843137254901967</v>
      </c>
      <c r="I37">
        <f>unemp!I37-AVERAGE(unemp!I$2:I$52)</f>
        <v>1.6980392156862738</v>
      </c>
      <c r="J37">
        <f>unemp!J37-AVERAGE(unemp!J$2:J$52)</f>
        <v>1.2568627450980383</v>
      </c>
    </row>
    <row r="38" spans="1:10" x14ac:dyDescent="0.3">
      <c r="A38">
        <v>2011</v>
      </c>
      <c r="B38">
        <f>unemp!B38-AVERAGE(unemp!B$2:B$52)</f>
        <v>1.9941176470588218</v>
      </c>
      <c r="C38">
        <f>unemp!C38-AVERAGE(unemp!C$2:C$52)</f>
        <v>2.1117647058823499</v>
      </c>
      <c r="D38">
        <f>unemp!D38-AVERAGE(unemp!D$2:D$52)</f>
        <v>2.9470588235294111</v>
      </c>
      <c r="E38">
        <f>unemp!E38-AVERAGE(unemp!E$2:E$52)</f>
        <v>2.4705882352941186</v>
      </c>
      <c r="F38">
        <f>unemp!F38-AVERAGE(unemp!F$2:F$52)</f>
        <v>1.9627450980392158</v>
      </c>
      <c r="G38">
        <f>unemp!G38-AVERAGE(unemp!G$2:G$52)</f>
        <v>1.7960784313725497</v>
      </c>
      <c r="H38">
        <f>unemp!H38-AVERAGE(unemp!H$2:H$52)</f>
        <v>3.3843137254901974</v>
      </c>
      <c r="I38">
        <f>unemp!I38-AVERAGE(unemp!I$2:I$52)</f>
        <v>1.898039215686274</v>
      </c>
      <c r="J38">
        <f>unemp!J38-AVERAGE(unemp!J$2:J$52)</f>
        <v>1.2568627450980383</v>
      </c>
    </row>
    <row r="39" spans="1:10" x14ac:dyDescent="0.3">
      <c r="A39">
        <v>2012</v>
      </c>
      <c r="B39">
        <f>unemp!B39-AVERAGE(unemp!B$2:B$52)</f>
        <v>1.0941176470588232</v>
      </c>
      <c r="C39">
        <f>unemp!C39-AVERAGE(unemp!C$2:C$52)</f>
        <v>1.5117647058823502</v>
      </c>
      <c r="D39">
        <f>unemp!D39-AVERAGE(unemp!D$2:D$52)</f>
        <v>2.2470588235294118</v>
      </c>
      <c r="E39">
        <f>unemp!E39-AVERAGE(unemp!E$2:E$52)</f>
        <v>1.9705882352941195</v>
      </c>
      <c r="F39">
        <f>unemp!F39-AVERAGE(unemp!F$2:F$52)</f>
        <v>1.8627450980392162</v>
      </c>
      <c r="G39">
        <f>unemp!G39-AVERAGE(unemp!G$2:G$52)</f>
        <v>1.5960784313725496</v>
      </c>
      <c r="H39">
        <f>unemp!H39-AVERAGE(unemp!H$2:H$52)</f>
        <v>1.784313725490196</v>
      </c>
      <c r="I39">
        <f>unemp!I39-AVERAGE(unemp!I$2:I$52)</f>
        <v>2.0980392156862733</v>
      </c>
      <c r="J39">
        <f>unemp!J39-AVERAGE(unemp!J$2:J$52)</f>
        <v>0.7568627450980383</v>
      </c>
    </row>
    <row r="40" spans="1:10" x14ac:dyDescent="0.3">
      <c r="A40">
        <v>2013</v>
      </c>
      <c r="B40">
        <f>unemp!B40-AVERAGE(unemp!B$2:B$52)</f>
        <v>0.79411764705882248</v>
      </c>
      <c r="C40">
        <f>unemp!C40-AVERAGE(unemp!C$2:C$52)</f>
        <v>1.1117647058823499</v>
      </c>
      <c r="D40">
        <f>unemp!D40-AVERAGE(unemp!D$2:D$52)</f>
        <v>1.9470588235294111</v>
      </c>
      <c r="E40">
        <f>unemp!E40-AVERAGE(unemp!E$2:E$52)</f>
        <v>1.2705882352941194</v>
      </c>
      <c r="F40">
        <f>unemp!F40-AVERAGE(unemp!F$2:F$52)</f>
        <v>1.1627450980392151</v>
      </c>
      <c r="G40">
        <f>unemp!G40-AVERAGE(unemp!G$2:G$52)</f>
        <v>0.79607843137254974</v>
      </c>
      <c r="H40">
        <f>unemp!H40-AVERAGE(unemp!H$2:H$52)</f>
        <v>1.3843137254901974</v>
      </c>
      <c r="I40">
        <f>unemp!I40-AVERAGE(unemp!I$2:I$52)</f>
        <v>0.79803921568627345</v>
      </c>
      <c r="J40">
        <f>unemp!J40-AVERAGE(unemp!J$2:J$52)</f>
        <v>0.85686274509803884</v>
      </c>
    </row>
    <row r="41" spans="1:10" x14ac:dyDescent="0.3">
      <c r="A41">
        <v>2014</v>
      </c>
      <c r="B41">
        <f>unemp!B41-AVERAGE(unemp!B$2:B$52)</f>
        <v>-0.90588235294117769</v>
      </c>
      <c r="C41">
        <f>unemp!C41-AVERAGE(unemp!C$2:C$52)</f>
        <v>-0.68823529411764994</v>
      </c>
      <c r="D41">
        <f>unemp!D41-AVERAGE(unemp!D$2:D$52)</f>
        <v>-0.65294117647058858</v>
      </c>
      <c r="E41">
        <f>unemp!E41-AVERAGE(unemp!E$2:E$52)</f>
        <v>-0.82941176470588029</v>
      </c>
      <c r="F41">
        <f>unemp!F41-AVERAGE(unemp!F$2:F$52)</f>
        <v>-0.63725490196078383</v>
      </c>
      <c r="G41">
        <f>unemp!G41-AVERAGE(unemp!G$2:G$52)</f>
        <v>9.6078431372549566E-2</v>
      </c>
      <c r="H41">
        <f>unemp!H41-AVERAGE(unemp!H$2:H$52)</f>
        <v>-0.81568627450980369</v>
      </c>
      <c r="I41">
        <f>unemp!I41-AVERAGE(unemp!I$2:I$52)</f>
        <v>9.8039215686273273E-2</v>
      </c>
      <c r="J41">
        <f>unemp!J41-AVERAGE(unemp!J$2:J$52)</f>
        <v>-0.54313725490196152</v>
      </c>
    </row>
    <row r="42" spans="1:10" x14ac:dyDescent="0.3">
      <c r="A42">
        <v>2015</v>
      </c>
      <c r="B42">
        <f>unemp!B42-AVERAGE(unemp!B$2:B$52)</f>
        <v>-0.90588235294117769</v>
      </c>
      <c r="C42">
        <f>unemp!C42-AVERAGE(unemp!C$2:C$52)</f>
        <v>-1.9882352941176498</v>
      </c>
      <c r="D42">
        <f>unemp!D42-AVERAGE(unemp!D$2:D$52)</f>
        <v>-0.65294117647058858</v>
      </c>
      <c r="E42">
        <f>unemp!E42-AVERAGE(unemp!E$2:E$52)</f>
        <v>-1.3294117647058803</v>
      </c>
      <c r="F42">
        <f>unemp!F42-AVERAGE(unemp!F$2:F$52)</f>
        <v>-1.6372549019607838</v>
      </c>
      <c r="G42">
        <f>unemp!G42-AVERAGE(unemp!G$2:G$52)</f>
        <v>-1.5039215686274501</v>
      </c>
      <c r="H42">
        <f>unemp!H42-AVERAGE(unemp!H$2:H$52)</f>
        <v>-0.71568627450980316</v>
      </c>
      <c r="I42">
        <f>unemp!I42-AVERAGE(unemp!I$2:I$52)</f>
        <v>-0.60196078431372646</v>
      </c>
      <c r="J42">
        <f>unemp!J42-AVERAGE(unemp!J$2:J$52)</f>
        <v>-1.2431372549019617</v>
      </c>
    </row>
    <row r="43" spans="1:10" x14ac:dyDescent="0.3">
      <c r="A43">
        <v>2016</v>
      </c>
      <c r="B43">
        <f>unemp!B43-AVERAGE(unemp!B$2:B$52)</f>
        <v>-1.9058823529411777</v>
      </c>
      <c r="C43">
        <f>unemp!C43-AVERAGE(unemp!C$2:C$52)</f>
        <v>-2.1882352941176499</v>
      </c>
      <c r="D43">
        <f>unemp!D43-AVERAGE(unemp!D$2:D$52)</f>
        <v>-1.552941176470588</v>
      </c>
      <c r="E43">
        <f>unemp!E43-AVERAGE(unemp!E$2:E$52)</f>
        <v>-1.5294117647058805</v>
      </c>
      <c r="F43">
        <f>unemp!F43-AVERAGE(unemp!F$2:F$52)</f>
        <v>-1.5372549019607842</v>
      </c>
      <c r="G43">
        <f>unemp!G43-AVERAGE(unemp!G$2:G$52)</f>
        <v>-0.60392156862744972</v>
      </c>
      <c r="H43">
        <f>unemp!H43-AVERAGE(unemp!H$2:H$52)</f>
        <v>-1.3156862745098037</v>
      </c>
      <c r="I43">
        <f>unemp!I43-AVERAGE(unemp!I$2:I$52)</f>
        <v>-0.90196078431372628</v>
      </c>
      <c r="J43">
        <f>unemp!J43-AVERAGE(unemp!J$2:J$52)</f>
        <v>-1.5431372549019615</v>
      </c>
    </row>
    <row r="44" spans="1:10" x14ac:dyDescent="0.3">
      <c r="A44">
        <v>2017</v>
      </c>
      <c r="B44">
        <f>unemp!B44-AVERAGE(unemp!B$2:B$52)</f>
        <v>-3.5058823529411773</v>
      </c>
      <c r="C44">
        <f>unemp!C44-AVERAGE(unemp!C$2:C$52)</f>
        <v>-2.7882352941176496</v>
      </c>
      <c r="D44">
        <f>unemp!D44-AVERAGE(unemp!D$2:D$52)</f>
        <v>-1.7529411764705882</v>
      </c>
      <c r="E44">
        <f>unemp!E44-AVERAGE(unemp!E$2:E$52)</f>
        <v>-1.629411764705881</v>
      </c>
      <c r="F44">
        <f>unemp!F44-AVERAGE(unemp!F$2:F$52)</f>
        <v>-2.337254901960784</v>
      </c>
      <c r="G44">
        <f>unemp!G44-AVERAGE(unemp!G$2:G$52)</f>
        <v>-0.8039215686274499</v>
      </c>
      <c r="H44">
        <f>unemp!H44-AVERAGE(unemp!H$2:H$52)</f>
        <v>-1.9156862745098033</v>
      </c>
      <c r="I44">
        <f>unemp!I44-AVERAGE(unemp!I$2:I$52)</f>
        <v>-1.0019607843137264</v>
      </c>
      <c r="J44">
        <f>unemp!J44-AVERAGE(unemp!J$2:J$52)</f>
        <v>-1.4431372549019614</v>
      </c>
    </row>
    <row r="45" spans="1:10" x14ac:dyDescent="0.3">
      <c r="A45">
        <v>2018</v>
      </c>
      <c r="B45">
        <f>unemp!B45-AVERAGE(unemp!B$2:B$52)</f>
        <v>-3.6058823529411779</v>
      </c>
      <c r="C45">
        <f>unemp!C45-AVERAGE(unemp!C$2:C$52)</f>
        <v>-3.3882352941176497</v>
      </c>
      <c r="D45">
        <f>unemp!D45-AVERAGE(unemp!D$2:D$52)</f>
        <v>-1.552941176470588</v>
      </c>
      <c r="E45">
        <f>unemp!E45-AVERAGE(unemp!E$2:E$52)</f>
        <v>-1.0294117647058805</v>
      </c>
      <c r="F45">
        <f>unemp!F45-AVERAGE(unemp!F$2:F$52)</f>
        <v>-1.9372549019607845</v>
      </c>
      <c r="G45">
        <f>unemp!G45-AVERAGE(unemp!G$2:G$52)</f>
        <v>-1.8039215686274499</v>
      </c>
      <c r="H45">
        <f>unemp!H45-AVERAGE(unemp!H$2:H$52)</f>
        <v>-2.7156862745098032</v>
      </c>
      <c r="I45">
        <f>unemp!I45-AVERAGE(unemp!I$2:I$52)</f>
        <v>-1.4019607843137263</v>
      </c>
      <c r="J45">
        <f>unemp!J45-AVERAGE(unemp!J$2:J$52)</f>
        <v>-2.1431372549019616</v>
      </c>
    </row>
    <row r="46" spans="1:10" x14ac:dyDescent="0.3">
      <c r="A46">
        <v>2019</v>
      </c>
      <c r="B46">
        <f>unemp!B46-AVERAGE(unemp!B$2:B$52)</f>
        <v>-2.5058823529411773</v>
      </c>
      <c r="C46">
        <f>unemp!C46-AVERAGE(unemp!C$2:C$52)</f>
        <v>-2.6882352941176499</v>
      </c>
      <c r="D46">
        <f>unemp!D46-AVERAGE(unemp!D$2:D$52)</f>
        <v>-2.2529411764705882</v>
      </c>
      <c r="E46">
        <f>unemp!E46-AVERAGE(unemp!E$2:E$52)</f>
        <v>-1.8294117647058807</v>
      </c>
      <c r="F46">
        <f>unemp!F46-AVERAGE(unemp!F$2:F$52)</f>
        <v>-2.6372549019607838</v>
      </c>
      <c r="G46">
        <f>unemp!G46-AVERAGE(unemp!G$2:G$52)</f>
        <v>-1.5039215686274501</v>
      </c>
      <c r="H46">
        <f>unemp!H46-AVERAGE(unemp!H$2:H$52)</f>
        <v>-2.4156862745098033</v>
      </c>
      <c r="I46">
        <f>unemp!I46-AVERAGE(unemp!I$2:I$52)</f>
        <v>-1.3019607843137262</v>
      </c>
      <c r="J46">
        <f>unemp!J46-AVERAGE(unemp!J$2:J$52)</f>
        <v>-2.1431372549019616</v>
      </c>
    </row>
    <row r="47" spans="1:10" x14ac:dyDescent="0.3">
      <c r="A47">
        <v>2020</v>
      </c>
      <c r="B47">
        <f>unemp!B47-AVERAGE(unemp!B$2:B$52)</f>
        <v>-2.5058823529411773</v>
      </c>
      <c r="C47">
        <f>unemp!C47-AVERAGE(unemp!C$2:C$52)</f>
        <v>-1.5882352941176494</v>
      </c>
      <c r="D47">
        <f>unemp!D47-AVERAGE(unemp!D$2:D$52)</f>
        <v>-1.4529411764705884</v>
      </c>
      <c r="E47">
        <f>unemp!E47-AVERAGE(unemp!E$2:E$52)</f>
        <v>-0.32941176470588029</v>
      </c>
      <c r="F47">
        <f>unemp!F47-AVERAGE(unemp!F$2:F$52)</f>
        <v>-1.0372549019607842</v>
      </c>
      <c r="G47">
        <f>unemp!G47-AVERAGE(unemp!G$2:G$52)</f>
        <v>-0.8039215686274499</v>
      </c>
      <c r="H47">
        <f>unemp!H47-AVERAGE(unemp!H$2:H$52)</f>
        <v>0.68431372549019631</v>
      </c>
      <c r="I47">
        <f>unemp!I47-AVERAGE(unemp!I$2:I$52)</f>
        <v>-1.2019607843137265</v>
      </c>
      <c r="J47">
        <f>unemp!J47-AVERAGE(unemp!J$2:J$52)</f>
        <v>-0.64313725490196116</v>
      </c>
    </row>
    <row r="48" spans="1:10" x14ac:dyDescent="0.3">
      <c r="A48">
        <v>2021</v>
      </c>
      <c r="B48">
        <f>unemp!B48-AVERAGE(unemp!B$2:B$52)</f>
        <v>-2.9058823529411777</v>
      </c>
      <c r="C48">
        <f>unemp!C48-AVERAGE(unemp!C$2:C$52)</f>
        <v>-2.3882352941176501</v>
      </c>
      <c r="D48">
        <f>unemp!D48-AVERAGE(unemp!D$2:D$52)</f>
        <v>-2.552941176470588</v>
      </c>
      <c r="E48">
        <f>unemp!E48-AVERAGE(unemp!E$2:E$52)</f>
        <v>-2.6294117647058806</v>
      </c>
      <c r="F48">
        <f>unemp!F48-AVERAGE(unemp!F$2:F$52)</f>
        <v>-2.0372549019607842</v>
      </c>
      <c r="G48">
        <f>unemp!G48-AVERAGE(unemp!G$2:G$52)</f>
        <v>-1.8039215686274499</v>
      </c>
      <c r="H48">
        <f>unemp!H48-AVERAGE(unemp!H$2:H$52)</f>
        <v>-1.515686274509803</v>
      </c>
      <c r="I48">
        <f>unemp!I48-AVERAGE(unemp!I$2:I$52)</f>
        <v>-0.70196078431372655</v>
      </c>
      <c r="J48">
        <f>unemp!J48-AVERAGE(unemp!J$2:J$52)</f>
        <v>-2.1431372549019616</v>
      </c>
    </row>
    <row r="49" spans="1:10" x14ac:dyDescent="0.3">
      <c r="A49">
        <v>2022</v>
      </c>
      <c r="B49">
        <f>unemp!B49-AVERAGE(unemp!B$2:B$52)</f>
        <v>-4.0058823529411773</v>
      </c>
      <c r="C49">
        <f>unemp!C49-AVERAGE(unemp!C$2:C$52)</f>
        <v>-3.2882352941176496</v>
      </c>
      <c r="D49">
        <f>unemp!D49-AVERAGE(unemp!D$2:D$52)</f>
        <v>-3.552941176470588</v>
      </c>
      <c r="E49">
        <f>unemp!E49-AVERAGE(unemp!E$2:E$52)</f>
        <v>-2.0294117647058805</v>
      </c>
      <c r="F49">
        <f>unemp!F49-AVERAGE(unemp!F$2:F$52)</f>
        <v>-2.2372549019607844</v>
      </c>
      <c r="G49">
        <f>unemp!G49-AVERAGE(unemp!G$2:G$52)</f>
        <v>-1.0039215686274501</v>
      </c>
      <c r="H49">
        <f>unemp!H49-AVERAGE(unemp!H$2:H$52)</f>
        <v>-2.015686274509803</v>
      </c>
      <c r="I49">
        <f>unemp!I49-AVERAGE(unemp!I$2:I$52)</f>
        <v>-0.60196078431372646</v>
      </c>
      <c r="J49">
        <f>unemp!J49-AVERAGE(unemp!J$2:J$52)</f>
        <v>-2.4431372549019614</v>
      </c>
    </row>
    <row r="50" spans="1:10" x14ac:dyDescent="0.3">
      <c r="A50">
        <v>2023</v>
      </c>
      <c r="B50">
        <f>unemp!B50-AVERAGE(unemp!B$2:B$52)</f>
        <v>-4.7058823529411775</v>
      </c>
      <c r="C50">
        <f>unemp!C50-AVERAGE(unemp!C$2:C$52)</f>
        <v>-2.1882352941176499</v>
      </c>
      <c r="D50">
        <f>unemp!D50-AVERAGE(unemp!D$2:D$52)</f>
        <v>-3.052941176470588</v>
      </c>
      <c r="E50">
        <f>unemp!E50-AVERAGE(unemp!E$2:E$52)</f>
        <v>-0.52941176470588047</v>
      </c>
      <c r="F50">
        <f>unemp!F50-AVERAGE(unemp!F$2:F$52)</f>
        <v>-2.7372549019607844</v>
      </c>
      <c r="G50">
        <f>unemp!G50-AVERAGE(unemp!G$2:G$52)</f>
        <v>-1.1039215686274502</v>
      </c>
      <c r="H50">
        <f>unemp!H50-AVERAGE(unemp!H$2:H$52)</f>
        <v>-3.1156862745098035</v>
      </c>
      <c r="I50">
        <f>unemp!I50-AVERAGE(unemp!I$2:I$52)</f>
        <v>-0.50196078431372637</v>
      </c>
      <c r="J50">
        <f>unemp!J50-AVERAGE(unemp!J$2:J$52)</f>
        <v>-1.6431372549019616</v>
      </c>
    </row>
    <row r="51" spans="1:10" x14ac:dyDescent="0.3">
      <c r="A51">
        <v>2024</v>
      </c>
      <c r="B51">
        <f>unemp!B51-AVERAGE(unemp!B$2:B$52)</f>
        <v>-4.0058823529411773</v>
      </c>
      <c r="C51">
        <f>unemp!C51-AVERAGE(unemp!C$2:C$52)</f>
        <v>-3.0882352941176499</v>
      </c>
      <c r="D51">
        <f>unemp!D51-AVERAGE(unemp!D$2:D$52)</f>
        <v>-2.7529411764705882</v>
      </c>
      <c r="E51">
        <f>unemp!E51-AVERAGE(unemp!E$2:E$52)</f>
        <v>-1.5294117647058805</v>
      </c>
      <c r="F51">
        <f>unemp!F51-AVERAGE(unemp!F$2:F$52)</f>
        <v>-2.5372549019607842</v>
      </c>
      <c r="G51">
        <f>unemp!G51-AVERAGE(unemp!G$2:G$52)</f>
        <v>-0.70392156862745026</v>
      </c>
      <c r="H51">
        <f>unemp!H51-AVERAGE(unemp!H$2:H$52)</f>
        <v>-0.61568627450980351</v>
      </c>
      <c r="I51">
        <f>unemp!I51-AVERAGE(unemp!I$2:I$52)</f>
        <v>-0.50196078431372637</v>
      </c>
      <c r="J51">
        <f>unemp!J51-AVERAGE(unemp!J$2:J$52)</f>
        <v>-1.5431372549019615</v>
      </c>
    </row>
    <row r="52" spans="1:10" x14ac:dyDescent="0.3">
      <c r="A52">
        <v>2025</v>
      </c>
      <c r="B52">
        <f>unemp!B52-AVERAGE(unemp!B$2:B$52)</f>
        <v>-1.6058823529411779</v>
      </c>
      <c r="C52">
        <f>unemp!C52-AVERAGE(unemp!C$2:C$52)</f>
        <v>-2.2882352941176496</v>
      </c>
      <c r="D52">
        <f>unemp!D52-AVERAGE(unemp!D$2:D$52)</f>
        <v>-0.75294117647058822</v>
      </c>
      <c r="E52">
        <f>unemp!E52-AVERAGE(unemp!E$2:E$52)</f>
        <v>-0.129411764705881</v>
      </c>
      <c r="F52">
        <f>unemp!F52-AVERAGE(unemp!F$2:F$52)</f>
        <v>-0.93725490196078454</v>
      </c>
      <c r="G52">
        <f>unemp!G52-AVERAGE(unemp!G$2:G$52)</f>
        <v>-0.70392156862745026</v>
      </c>
      <c r="H52">
        <f>unemp!H52-AVERAGE(unemp!H$2:H$52)</f>
        <v>0.98431372549019702</v>
      </c>
      <c r="I52">
        <f>unemp!I52-AVERAGE(unemp!I$2:I$52)</f>
        <v>-0.50196078431372637</v>
      </c>
      <c r="J52">
        <f>unemp!J52-AVERAGE(unemp!J$2:J$52)</f>
        <v>-1.1431372549019616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389E-37FC-4047-B6CA-2AB4C3682349}">
  <dimension ref="A1:B1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 s="9" t="s">
        <v>2</v>
      </c>
      <c r="B2" s="9">
        <v>8.7058823529411775</v>
      </c>
    </row>
    <row r="3" spans="1:2" x14ac:dyDescent="0.3">
      <c r="A3" s="9" t="s">
        <v>3</v>
      </c>
      <c r="B3" s="9">
        <v>6.9882352941176498</v>
      </c>
    </row>
    <row r="4" spans="1:2" x14ac:dyDescent="0.3">
      <c r="A4" s="9" t="s">
        <v>4</v>
      </c>
      <c r="B4" s="9">
        <v>6.7529411764705882</v>
      </c>
    </row>
    <row r="5" spans="1:2" x14ac:dyDescent="0.3">
      <c r="A5" s="9" t="s">
        <v>5</v>
      </c>
      <c r="B5" s="9">
        <v>5.7294117647058806</v>
      </c>
    </row>
    <row r="6" spans="1:2" x14ac:dyDescent="0.3">
      <c r="A6" s="9" t="s">
        <v>6</v>
      </c>
      <c r="B6" s="9">
        <v>7.0372549019607842</v>
      </c>
    </row>
    <row r="7" spans="1:2" x14ac:dyDescent="0.3">
      <c r="A7" s="9" t="s">
        <v>0</v>
      </c>
      <c r="B7" s="9">
        <v>5.0039215686274501</v>
      </c>
    </row>
    <row r="8" spans="1:2" x14ac:dyDescent="0.3">
      <c r="A8" s="9" t="s">
        <v>1</v>
      </c>
      <c r="B8" s="9">
        <v>6.9156862745098033</v>
      </c>
    </row>
    <row r="9" spans="1:2" x14ac:dyDescent="0.3">
      <c r="A9" s="9" t="s">
        <v>7</v>
      </c>
      <c r="B9" s="9">
        <v>4.5019607843137264</v>
      </c>
    </row>
    <row r="10" spans="1:2" x14ac:dyDescent="0.3">
      <c r="A10" s="9" t="s">
        <v>8</v>
      </c>
      <c r="B10" s="9">
        <v>5.0431372549019615</v>
      </c>
    </row>
    <row r="11" spans="1:2" x14ac:dyDescent="0.3">
      <c r="A11" s="9" t="s">
        <v>11</v>
      </c>
      <c r="B11" s="9">
        <v>7.3313725490196093</v>
      </c>
    </row>
    <row r="12" spans="1:2" x14ac:dyDescent="0.3">
      <c r="A12" s="9" t="s">
        <v>12</v>
      </c>
      <c r="B12" s="9">
        <v>7.3843137254901956</v>
      </c>
    </row>
    <row r="13" spans="1:2" x14ac:dyDescent="0.3">
      <c r="A13" s="9" t="s">
        <v>13</v>
      </c>
      <c r="B13" s="9">
        <v>8.405882352941175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D229-C428-4F0D-9838-83C613A4B4D7}">
  <dimension ref="A1:M52"/>
  <sheetViews>
    <sheetView workbookViewId="0">
      <selection sqref="A1:M52"/>
    </sheetView>
  </sheetViews>
  <sheetFormatPr defaultRowHeight="14.4" x14ac:dyDescent="0.3"/>
  <sheetData>
    <row r="1" spans="1:13" x14ac:dyDescent="0.3">
      <c r="A1" s="10" t="s">
        <v>9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0</v>
      </c>
      <c r="H1" s="10" t="s">
        <v>1</v>
      </c>
      <c r="I1" s="10" t="s">
        <v>7</v>
      </c>
      <c r="J1" s="10" t="s">
        <v>8</v>
      </c>
      <c r="K1" s="15" t="s">
        <v>11</v>
      </c>
      <c r="L1" s="15" t="s">
        <v>12</v>
      </c>
      <c r="M1" s="15" t="s">
        <v>13</v>
      </c>
    </row>
    <row r="2" spans="1:13" x14ac:dyDescent="0.3">
      <c r="A2" s="9">
        <v>1975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r="3" spans="1:13" x14ac:dyDescent="0.3">
      <c r="A3" s="9">
        <v>1976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r="4" spans="1:13" x14ac:dyDescent="0.3">
      <c r="A4" s="9">
        <v>1977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  <row r="5" spans="1:13" x14ac:dyDescent="0.3">
      <c r="A5" s="9">
        <v>1978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</row>
    <row r="6" spans="1:13" x14ac:dyDescent="0.3">
      <c r="A6" s="9">
        <v>1979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</row>
    <row r="7" spans="1:13" x14ac:dyDescent="0.3">
      <c r="A7" s="9">
        <v>1980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</row>
    <row r="8" spans="1:13" x14ac:dyDescent="0.3">
      <c r="A8" s="9">
        <v>1981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</row>
    <row r="9" spans="1:13" x14ac:dyDescent="0.3">
      <c r="A9" s="9">
        <v>1982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</row>
    <row r="10" spans="1:13" x14ac:dyDescent="0.3">
      <c r="A10" s="9">
        <v>1983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</row>
    <row r="11" spans="1:13" x14ac:dyDescent="0.3">
      <c r="A11" s="9">
        <v>1984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r="12" spans="1:13" x14ac:dyDescent="0.3">
      <c r="A12" s="9">
        <v>1985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r="13" spans="1:13" x14ac:dyDescent="0.3">
      <c r="A13" s="9">
        <v>1986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r="14" spans="1:13" x14ac:dyDescent="0.3">
      <c r="A14" s="9">
        <v>1987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r="15" spans="1:13" x14ac:dyDescent="0.3">
      <c r="A15" s="9">
        <v>1988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r="16" spans="1:13" x14ac:dyDescent="0.3">
      <c r="A16" s="9">
        <v>1989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r="17" spans="1:13" x14ac:dyDescent="0.3">
      <c r="A17" s="9">
        <v>1990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r="18" spans="1:13" x14ac:dyDescent="0.3">
      <c r="A18" s="9">
        <v>1991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r="19" spans="1:13" x14ac:dyDescent="0.3">
      <c r="A19" s="9">
        <v>1992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r="20" spans="1:13" x14ac:dyDescent="0.3">
      <c r="A20" s="9">
        <v>1993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r="21" spans="1:13" x14ac:dyDescent="0.3">
      <c r="A21" s="9">
        <v>1994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r="22" spans="1:13" x14ac:dyDescent="0.3">
      <c r="A22" s="9">
        <v>1995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r="23" spans="1:13" x14ac:dyDescent="0.3">
      <c r="A23" s="9">
        <v>1996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r="24" spans="1:13" x14ac:dyDescent="0.3">
      <c r="A24" s="9">
        <v>1997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r="25" spans="1:13" x14ac:dyDescent="0.3">
      <c r="A25" s="9">
        <v>1998</v>
      </c>
      <c r="B25" s="9">
        <v>1000</v>
      </c>
      <c r="C25" s="9">
        <v>1000</v>
      </c>
      <c r="D25" s="9">
        <v>1000</v>
      </c>
      <c r="E25" s="9">
        <v>1000</v>
      </c>
      <c r="F25" s="9">
        <v>1000</v>
      </c>
      <c r="G25" s="9">
        <v>1000</v>
      </c>
      <c r="H25" s="9">
        <v>1000</v>
      </c>
      <c r="I25" s="9">
        <v>1000</v>
      </c>
      <c r="J25" s="9">
        <v>1000</v>
      </c>
      <c r="K25" s="9">
        <v>1000</v>
      </c>
      <c r="L25" s="9">
        <v>1000</v>
      </c>
      <c r="M25" s="9">
        <v>1000</v>
      </c>
    </row>
    <row r="26" spans="1:13" x14ac:dyDescent="0.3">
      <c r="A26" s="9">
        <v>1999</v>
      </c>
      <c r="B26" s="9">
        <v>1000</v>
      </c>
      <c r="C26" s="9">
        <v>1000</v>
      </c>
      <c r="D26" s="9">
        <v>1000</v>
      </c>
      <c r="E26" s="9">
        <v>1000</v>
      </c>
      <c r="F26" s="9">
        <v>1000</v>
      </c>
      <c r="G26" s="9">
        <v>1000</v>
      </c>
      <c r="H26" s="9">
        <v>1000</v>
      </c>
      <c r="I26" s="9">
        <v>1000</v>
      </c>
      <c r="J26" s="9">
        <v>1000</v>
      </c>
      <c r="K26" s="9">
        <v>1000</v>
      </c>
      <c r="L26" s="9">
        <v>1000</v>
      </c>
      <c r="M26" s="9">
        <v>1000</v>
      </c>
    </row>
    <row r="27" spans="1:13" x14ac:dyDescent="0.3">
      <c r="A27" s="9">
        <v>2000</v>
      </c>
      <c r="B27" s="9">
        <v>1000</v>
      </c>
      <c r="C27" s="9">
        <v>1000</v>
      </c>
      <c r="D27" s="9">
        <v>1000</v>
      </c>
      <c r="E27" s="9">
        <v>1000</v>
      </c>
      <c r="F27" s="9">
        <v>1000</v>
      </c>
      <c r="G27" s="9">
        <v>1000</v>
      </c>
      <c r="H27" s="9">
        <v>1000</v>
      </c>
      <c r="I27" s="9">
        <v>1000</v>
      </c>
      <c r="J27" s="9">
        <v>1000</v>
      </c>
      <c r="K27" s="9">
        <v>1000</v>
      </c>
      <c r="L27" s="9">
        <v>1000</v>
      </c>
      <c r="M27" s="9">
        <v>1000</v>
      </c>
    </row>
    <row r="28" spans="1:13" x14ac:dyDescent="0.3">
      <c r="A28" s="9">
        <v>2001</v>
      </c>
      <c r="B28" s="9">
        <v>1000</v>
      </c>
      <c r="C28" s="9">
        <v>1000</v>
      </c>
      <c r="D28" s="9">
        <v>1000</v>
      </c>
      <c r="E28" s="9">
        <v>1000</v>
      </c>
      <c r="F28" s="9">
        <v>1000</v>
      </c>
      <c r="G28" s="9">
        <v>1000</v>
      </c>
      <c r="H28" s="9">
        <v>1000</v>
      </c>
      <c r="I28" s="9">
        <v>1000</v>
      </c>
      <c r="J28" s="9">
        <v>1000</v>
      </c>
      <c r="K28" s="9">
        <v>1000</v>
      </c>
      <c r="L28" s="9">
        <v>0</v>
      </c>
      <c r="M28" s="9">
        <v>1000</v>
      </c>
    </row>
    <row r="29" spans="1:13" x14ac:dyDescent="0.3">
      <c r="A29" s="9">
        <v>2002</v>
      </c>
      <c r="B29" s="9">
        <v>1000</v>
      </c>
      <c r="C29" s="9">
        <v>1000</v>
      </c>
      <c r="D29" s="9">
        <v>1000</v>
      </c>
      <c r="E29" s="9">
        <v>1000</v>
      </c>
      <c r="F29" s="9">
        <v>1000</v>
      </c>
      <c r="G29" s="9">
        <v>1000</v>
      </c>
      <c r="H29" s="9">
        <v>1000</v>
      </c>
      <c r="I29" s="9">
        <v>1000</v>
      </c>
      <c r="J29" s="9">
        <v>1000</v>
      </c>
      <c r="K29" s="9">
        <v>1000</v>
      </c>
      <c r="L29" s="9">
        <v>0</v>
      </c>
      <c r="M29" s="9">
        <v>1000</v>
      </c>
    </row>
    <row r="30" spans="1:13" x14ac:dyDescent="0.3">
      <c r="A30" s="9">
        <v>2003</v>
      </c>
      <c r="B30" s="9">
        <v>1000</v>
      </c>
      <c r="C30" s="9">
        <v>1000</v>
      </c>
      <c r="D30" s="9">
        <v>1000</v>
      </c>
      <c r="E30" s="9">
        <v>1000</v>
      </c>
      <c r="F30" s="9">
        <v>1000</v>
      </c>
      <c r="G30" s="9">
        <v>1000</v>
      </c>
      <c r="H30" s="9">
        <v>1000</v>
      </c>
      <c r="I30" s="9">
        <v>1000</v>
      </c>
      <c r="J30" s="9">
        <v>1000</v>
      </c>
      <c r="K30" s="9">
        <v>1000</v>
      </c>
      <c r="L30" s="9">
        <v>0</v>
      </c>
      <c r="M30" s="9">
        <v>1000</v>
      </c>
    </row>
    <row r="31" spans="1:13" x14ac:dyDescent="0.3">
      <c r="A31" s="9">
        <v>2004</v>
      </c>
      <c r="B31" s="9">
        <v>1000</v>
      </c>
      <c r="C31" s="9">
        <v>1000</v>
      </c>
      <c r="D31" s="9">
        <v>1000</v>
      </c>
      <c r="E31" s="9">
        <v>1000</v>
      </c>
      <c r="F31" s="9">
        <v>1000</v>
      </c>
      <c r="G31" s="9">
        <v>1000</v>
      </c>
      <c r="H31" s="9">
        <v>1000</v>
      </c>
      <c r="I31" s="9">
        <v>1000</v>
      </c>
      <c r="J31" s="9">
        <v>1000</v>
      </c>
      <c r="K31" s="9">
        <v>1000</v>
      </c>
      <c r="L31" s="9">
        <v>0</v>
      </c>
      <c r="M31" s="9">
        <v>1000</v>
      </c>
    </row>
    <row r="32" spans="1:13" x14ac:dyDescent="0.3">
      <c r="A32" s="9">
        <v>2005</v>
      </c>
      <c r="B32" s="9">
        <v>1000</v>
      </c>
      <c r="C32" s="9">
        <v>1000</v>
      </c>
      <c r="D32" s="9">
        <v>1000</v>
      </c>
      <c r="E32" s="9">
        <v>1000</v>
      </c>
      <c r="F32" s="9">
        <v>1000</v>
      </c>
      <c r="G32" s="9">
        <v>1000</v>
      </c>
      <c r="H32" s="9">
        <v>1000</v>
      </c>
      <c r="I32" s="9">
        <v>1000</v>
      </c>
      <c r="J32" s="9">
        <v>1000</v>
      </c>
      <c r="K32" s="9">
        <v>1000</v>
      </c>
      <c r="L32" s="9">
        <v>0</v>
      </c>
      <c r="M32" s="9">
        <v>1000</v>
      </c>
    </row>
    <row r="33" spans="1:13" x14ac:dyDescent="0.3">
      <c r="A33" s="9">
        <v>2006</v>
      </c>
      <c r="B33" s="9">
        <v>3000</v>
      </c>
      <c r="C33" s="9">
        <v>3000</v>
      </c>
      <c r="D33" s="9">
        <v>3000</v>
      </c>
      <c r="E33" s="9">
        <v>3000</v>
      </c>
      <c r="F33" s="9">
        <v>3000</v>
      </c>
      <c r="G33" s="9">
        <v>3000</v>
      </c>
      <c r="H33" s="9">
        <v>3000</v>
      </c>
      <c r="I33" s="9">
        <v>3000</v>
      </c>
      <c r="J33" s="9">
        <v>3000</v>
      </c>
      <c r="K33" s="9">
        <v>3000</v>
      </c>
      <c r="L33" s="9">
        <v>0</v>
      </c>
      <c r="M33" s="9">
        <v>3000</v>
      </c>
    </row>
    <row r="34" spans="1:13" x14ac:dyDescent="0.3">
      <c r="A34" s="9">
        <v>2007</v>
      </c>
      <c r="B34" s="9">
        <v>3000</v>
      </c>
      <c r="C34" s="9">
        <v>3000</v>
      </c>
      <c r="D34" s="9">
        <v>3000</v>
      </c>
      <c r="E34" s="9">
        <v>3000</v>
      </c>
      <c r="F34" s="9">
        <v>3000</v>
      </c>
      <c r="G34" s="9">
        <v>3000</v>
      </c>
      <c r="H34" s="9">
        <v>3000</v>
      </c>
      <c r="I34" s="9">
        <v>3000</v>
      </c>
      <c r="J34" s="9">
        <v>3000</v>
      </c>
      <c r="K34" s="9">
        <v>3000</v>
      </c>
      <c r="L34" s="9">
        <v>0</v>
      </c>
      <c r="M34" s="9">
        <v>3000</v>
      </c>
    </row>
    <row r="35" spans="1:13" x14ac:dyDescent="0.3">
      <c r="A35" s="9">
        <v>2008</v>
      </c>
      <c r="B35" s="9">
        <v>3000</v>
      </c>
      <c r="C35" s="9">
        <v>3000</v>
      </c>
      <c r="D35" s="9">
        <v>3000</v>
      </c>
      <c r="E35" s="9">
        <v>3000</v>
      </c>
      <c r="F35" s="9">
        <v>3000</v>
      </c>
      <c r="G35" s="9">
        <v>3000</v>
      </c>
      <c r="H35" s="9">
        <v>3000</v>
      </c>
      <c r="I35" s="9">
        <v>3000</v>
      </c>
      <c r="J35" s="9">
        <v>3000</v>
      </c>
      <c r="K35" s="9">
        <v>3000</v>
      </c>
      <c r="L35" s="9">
        <v>0</v>
      </c>
      <c r="M35" s="9">
        <v>3000</v>
      </c>
    </row>
    <row r="36" spans="1:13" x14ac:dyDescent="0.3">
      <c r="A36" s="9">
        <v>2009</v>
      </c>
      <c r="B36" s="9">
        <v>3000</v>
      </c>
      <c r="C36" s="9">
        <v>3000</v>
      </c>
      <c r="D36" s="9">
        <v>3000</v>
      </c>
      <c r="E36" s="9">
        <v>3000</v>
      </c>
      <c r="F36" s="9">
        <v>3000</v>
      </c>
      <c r="G36" s="9">
        <v>3000</v>
      </c>
      <c r="H36" s="9">
        <v>3000</v>
      </c>
      <c r="I36" s="9">
        <v>3000</v>
      </c>
      <c r="J36" s="9">
        <v>3000</v>
      </c>
      <c r="K36" s="9">
        <v>3000</v>
      </c>
      <c r="L36" s="9">
        <v>0</v>
      </c>
      <c r="M36" s="9">
        <v>3000</v>
      </c>
    </row>
    <row r="37" spans="1:13" x14ac:dyDescent="0.3">
      <c r="A37" s="9">
        <v>2010</v>
      </c>
      <c r="B37" s="9">
        <v>3000</v>
      </c>
      <c r="C37" s="9">
        <v>3000</v>
      </c>
      <c r="D37" s="9">
        <v>3000</v>
      </c>
      <c r="E37" s="9">
        <v>3000</v>
      </c>
      <c r="F37" s="9">
        <v>3000</v>
      </c>
      <c r="G37" s="9">
        <v>3000</v>
      </c>
      <c r="H37" s="9">
        <v>3000</v>
      </c>
      <c r="I37" s="9">
        <v>3000</v>
      </c>
      <c r="J37" s="9">
        <v>3000</v>
      </c>
      <c r="K37" s="9">
        <v>3000</v>
      </c>
      <c r="L37" s="9">
        <v>0</v>
      </c>
      <c r="M37" s="9">
        <v>3000</v>
      </c>
    </row>
    <row r="38" spans="1:13" x14ac:dyDescent="0.3">
      <c r="A38" s="9">
        <v>2011</v>
      </c>
      <c r="B38" s="9">
        <v>3000</v>
      </c>
      <c r="C38" s="9">
        <v>3000</v>
      </c>
      <c r="D38" s="9">
        <v>3000</v>
      </c>
      <c r="E38" s="9">
        <v>3000</v>
      </c>
      <c r="F38" s="9">
        <v>3000</v>
      </c>
      <c r="G38" s="9">
        <v>3000</v>
      </c>
      <c r="H38" s="9">
        <v>3000</v>
      </c>
      <c r="I38" s="9">
        <v>3000</v>
      </c>
      <c r="J38" s="9">
        <v>3000</v>
      </c>
      <c r="K38" s="9">
        <v>3000</v>
      </c>
      <c r="L38" s="9">
        <v>0</v>
      </c>
      <c r="M38" s="9">
        <v>3000</v>
      </c>
    </row>
    <row r="39" spans="1:13" x14ac:dyDescent="0.3">
      <c r="A39" s="9">
        <v>2012</v>
      </c>
      <c r="B39" s="9">
        <v>9000</v>
      </c>
      <c r="C39" s="9">
        <v>9000</v>
      </c>
      <c r="D39" s="9">
        <v>9000</v>
      </c>
      <c r="E39" s="9">
        <v>9000</v>
      </c>
      <c r="F39" s="9">
        <v>9000</v>
      </c>
      <c r="G39" s="9">
        <v>9000</v>
      </c>
      <c r="H39" s="9">
        <v>9000</v>
      </c>
      <c r="I39" s="9">
        <v>9000</v>
      </c>
      <c r="J39" s="9">
        <v>9000</v>
      </c>
      <c r="K39" s="9">
        <v>9000</v>
      </c>
      <c r="L39" s="9">
        <v>0</v>
      </c>
      <c r="M39" s="9">
        <v>3465</v>
      </c>
    </row>
    <row r="40" spans="1:13" x14ac:dyDescent="0.3">
      <c r="A40" s="9">
        <v>2013</v>
      </c>
      <c r="B40" s="9">
        <v>9000</v>
      </c>
      <c r="C40" s="9">
        <v>9000</v>
      </c>
      <c r="D40" s="9">
        <v>9000</v>
      </c>
      <c r="E40" s="9">
        <v>9000</v>
      </c>
      <c r="F40" s="9">
        <v>9000</v>
      </c>
      <c r="G40" s="9">
        <v>9000</v>
      </c>
      <c r="H40" s="9">
        <v>9000</v>
      </c>
      <c r="I40" s="9">
        <v>9000</v>
      </c>
      <c r="J40" s="9">
        <v>9000</v>
      </c>
      <c r="K40" s="9">
        <v>9000</v>
      </c>
      <c r="L40" s="9">
        <v>0</v>
      </c>
      <c r="M40" s="9">
        <v>3465</v>
      </c>
    </row>
    <row r="41" spans="1:13" x14ac:dyDescent="0.3">
      <c r="A41" s="9">
        <v>2014</v>
      </c>
      <c r="B41" s="9">
        <v>9000</v>
      </c>
      <c r="C41" s="9">
        <v>9000</v>
      </c>
      <c r="D41" s="9">
        <v>9000</v>
      </c>
      <c r="E41" s="9">
        <v>9000</v>
      </c>
      <c r="F41" s="9">
        <v>9000</v>
      </c>
      <c r="G41" s="9">
        <v>9000</v>
      </c>
      <c r="H41" s="9">
        <v>9000</v>
      </c>
      <c r="I41" s="9">
        <v>9000</v>
      </c>
      <c r="J41" s="9">
        <v>9000</v>
      </c>
      <c r="K41" s="9">
        <v>9000</v>
      </c>
      <c r="L41" s="9">
        <v>0</v>
      </c>
      <c r="M41" s="9">
        <v>3465</v>
      </c>
    </row>
    <row r="42" spans="1:13" x14ac:dyDescent="0.3">
      <c r="A42" s="9">
        <v>2015</v>
      </c>
      <c r="B42" s="9">
        <v>9000</v>
      </c>
      <c r="C42" s="9">
        <v>9000</v>
      </c>
      <c r="D42" s="9">
        <v>9000</v>
      </c>
      <c r="E42" s="9">
        <v>9000</v>
      </c>
      <c r="F42" s="9">
        <v>9000</v>
      </c>
      <c r="G42" s="9">
        <v>9000</v>
      </c>
      <c r="H42" s="9">
        <v>9000</v>
      </c>
      <c r="I42" s="9">
        <v>9000</v>
      </c>
      <c r="J42" s="9">
        <v>9000</v>
      </c>
      <c r="K42" s="9">
        <v>9000</v>
      </c>
      <c r="L42" s="9">
        <v>0</v>
      </c>
      <c r="M42" s="9">
        <v>3465</v>
      </c>
    </row>
    <row r="43" spans="1:13" x14ac:dyDescent="0.3">
      <c r="A43" s="9">
        <v>2016</v>
      </c>
      <c r="B43" s="9">
        <v>9000</v>
      </c>
      <c r="C43" s="9">
        <v>9000</v>
      </c>
      <c r="D43" s="9">
        <v>9000</v>
      </c>
      <c r="E43" s="9">
        <v>9000</v>
      </c>
      <c r="F43" s="9">
        <v>9000</v>
      </c>
      <c r="G43" s="9">
        <v>9000</v>
      </c>
      <c r="H43" s="9">
        <v>9000</v>
      </c>
      <c r="I43" s="9">
        <v>9000</v>
      </c>
      <c r="J43" s="9">
        <v>9000</v>
      </c>
      <c r="K43" s="9">
        <v>9000</v>
      </c>
      <c r="L43" s="9">
        <v>0</v>
      </c>
      <c r="M43" s="9">
        <v>3465</v>
      </c>
    </row>
    <row r="44" spans="1:13" x14ac:dyDescent="0.3">
      <c r="A44" s="9">
        <v>2017</v>
      </c>
      <c r="B44" s="9">
        <v>9250</v>
      </c>
      <c r="C44" s="9">
        <v>9250</v>
      </c>
      <c r="D44" s="9">
        <v>9250</v>
      </c>
      <c r="E44" s="9">
        <v>9250</v>
      </c>
      <c r="F44" s="9">
        <v>9250</v>
      </c>
      <c r="G44" s="9">
        <v>9250</v>
      </c>
      <c r="H44" s="9">
        <v>9250</v>
      </c>
      <c r="I44" s="9">
        <v>9250</v>
      </c>
      <c r="J44" s="9">
        <v>9250</v>
      </c>
      <c r="K44" s="9">
        <v>9000</v>
      </c>
      <c r="L44" s="9">
        <v>0</v>
      </c>
      <c r="M44" s="9">
        <v>4030</v>
      </c>
    </row>
    <row r="45" spans="1:13" x14ac:dyDescent="0.3">
      <c r="A45" s="9">
        <v>2018</v>
      </c>
      <c r="B45" s="9">
        <v>9250</v>
      </c>
      <c r="C45" s="9">
        <v>9250</v>
      </c>
      <c r="D45" s="9">
        <v>9250</v>
      </c>
      <c r="E45" s="9">
        <v>9250</v>
      </c>
      <c r="F45" s="9">
        <v>9250</v>
      </c>
      <c r="G45" s="9">
        <v>9250</v>
      </c>
      <c r="H45" s="9">
        <v>9250</v>
      </c>
      <c r="I45" s="9">
        <v>9250</v>
      </c>
      <c r="J45" s="9">
        <v>9250</v>
      </c>
      <c r="K45" s="9">
        <v>9250</v>
      </c>
      <c r="L45" s="9">
        <v>0</v>
      </c>
      <c r="M45" s="9">
        <v>4030</v>
      </c>
    </row>
    <row r="46" spans="1:13" x14ac:dyDescent="0.3">
      <c r="A46" s="9">
        <v>2019</v>
      </c>
      <c r="B46" s="9">
        <v>9250</v>
      </c>
      <c r="C46" s="9">
        <v>9250</v>
      </c>
      <c r="D46" s="9">
        <v>9250</v>
      </c>
      <c r="E46" s="9">
        <v>9250</v>
      </c>
      <c r="F46" s="9">
        <v>9250</v>
      </c>
      <c r="G46" s="9">
        <v>9250</v>
      </c>
      <c r="H46" s="9">
        <v>9250</v>
      </c>
      <c r="I46" s="9">
        <v>9250</v>
      </c>
      <c r="J46" s="9">
        <v>9250</v>
      </c>
      <c r="K46" s="9">
        <v>9250</v>
      </c>
      <c r="L46" s="9">
        <v>0</v>
      </c>
      <c r="M46" s="9">
        <v>4030</v>
      </c>
    </row>
    <row r="47" spans="1:13" x14ac:dyDescent="0.3">
      <c r="A47" s="9">
        <v>2020</v>
      </c>
      <c r="B47" s="9">
        <v>9250</v>
      </c>
      <c r="C47" s="9">
        <v>9250</v>
      </c>
      <c r="D47" s="9">
        <v>9250</v>
      </c>
      <c r="E47" s="9">
        <v>9250</v>
      </c>
      <c r="F47" s="9">
        <v>9250</v>
      </c>
      <c r="G47" s="9">
        <v>9250</v>
      </c>
      <c r="H47" s="9">
        <v>9250</v>
      </c>
      <c r="I47" s="9">
        <v>9250</v>
      </c>
      <c r="J47" s="9">
        <v>9250</v>
      </c>
      <c r="K47" s="9">
        <v>9250</v>
      </c>
      <c r="L47" s="9">
        <v>0</v>
      </c>
      <c r="M47" s="9">
        <v>4030</v>
      </c>
    </row>
    <row r="48" spans="1:13" x14ac:dyDescent="0.3">
      <c r="A48" s="9">
        <v>2021</v>
      </c>
      <c r="B48" s="9">
        <v>9250</v>
      </c>
      <c r="C48" s="9">
        <v>9250</v>
      </c>
      <c r="D48" s="9">
        <v>9250</v>
      </c>
      <c r="E48" s="9">
        <v>9250</v>
      </c>
      <c r="F48" s="9">
        <v>9250</v>
      </c>
      <c r="G48" s="9">
        <v>9250</v>
      </c>
      <c r="H48" s="9">
        <v>9250</v>
      </c>
      <c r="I48" s="9">
        <v>9250</v>
      </c>
      <c r="J48" s="9">
        <v>9250</v>
      </c>
      <c r="K48" s="9">
        <v>9250</v>
      </c>
      <c r="L48" s="9">
        <v>0</v>
      </c>
      <c r="M48" s="9">
        <v>4030</v>
      </c>
    </row>
    <row r="49" spans="1:13" x14ac:dyDescent="0.3">
      <c r="A49" s="9">
        <v>2022</v>
      </c>
      <c r="B49" s="9">
        <v>9250</v>
      </c>
      <c r="C49" s="9">
        <v>9250</v>
      </c>
      <c r="D49" s="9">
        <v>9250</v>
      </c>
      <c r="E49" s="9">
        <v>9250</v>
      </c>
      <c r="F49" s="9">
        <v>9250</v>
      </c>
      <c r="G49" s="9">
        <v>9250</v>
      </c>
      <c r="H49" s="9">
        <v>9250</v>
      </c>
      <c r="I49" s="9">
        <v>9250</v>
      </c>
      <c r="J49" s="9">
        <v>9250</v>
      </c>
      <c r="K49" s="9">
        <v>9250</v>
      </c>
      <c r="L49" s="9">
        <v>0</v>
      </c>
      <c r="M49" s="9">
        <v>4630</v>
      </c>
    </row>
    <row r="50" spans="1:13" x14ac:dyDescent="0.3">
      <c r="A50" s="9">
        <v>2023</v>
      </c>
      <c r="B50" s="9">
        <v>9250</v>
      </c>
      <c r="C50" s="9">
        <v>9250</v>
      </c>
      <c r="D50" s="9">
        <v>9250</v>
      </c>
      <c r="E50" s="9">
        <v>9250</v>
      </c>
      <c r="F50" s="9">
        <v>9250</v>
      </c>
      <c r="G50" s="9">
        <v>9250</v>
      </c>
      <c r="H50" s="9">
        <v>9250</v>
      </c>
      <c r="I50" s="9">
        <v>9250</v>
      </c>
      <c r="J50" s="9">
        <v>9250</v>
      </c>
      <c r="K50" s="9">
        <v>9250</v>
      </c>
      <c r="L50" s="9">
        <v>0</v>
      </c>
      <c r="M50" s="9">
        <v>4750</v>
      </c>
    </row>
    <row r="51" spans="1:13" x14ac:dyDescent="0.3">
      <c r="A51" s="9">
        <v>2024</v>
      </c>
      <c r="B51" s="9">
        <v>9250</v>
      </c>
      <c r="C51" s="9">
        <v>9250</v>
      </c>
      <c r="D51" s="9">
        <v>9250</v>
      </c>
      <c r="E51" s="9">
        <v>9250</v>
      </c>
      <c r="F51" s="9">
        <v>9250</v>
      </c>
      <c r="G51" s="9">
        <v>9250</v>
      </c>
      <c r="H51" s="9">
        <v>9250</v>
      </c>
      <c r="I51" s="9">
        <v>9250</v>
      </c>
      <c r="J51" s="9">
        <v>9250</v>
      </c>
      <c r="K51" s="9">
        <v>9250</v>
      </c>
      <c r="L51" s="9">
        <v>0</v>
      </c>
      <c r="M51" s="9">
        <v>4750</v>
      </c>
    </row>
    <row r="52" spans="1:13" x14ac:dyDescent="0.3">
      <c r="A52" s="9">
        <v>2025</v>
      </c>
      <c r="B52" s="9">
        <v>9535</v>
      </c>
      <c r="C52" s="9">
        <v>9535</v>
      </c>
      <c r="D52" s="9">
        <v>9535</v>
      </c>
      <c r="E52" s="9">
        <v>9535</v>
      </c>
      <c r="F52" s="9">
        <v>9535</v>
      </c>
      <c r="G52" s="9">
        <v>9535</v>
      </c>
      <c r="H52" s="9">
        <v>9535</v>
      </c>
      <c r="I52" s="9">
        <v>9535</v>
      </c>
      <c r="J52" s="9">
        <v>9535</v>
      </c>
      <c r="K52" s="9">
        <v>9535</v>
      </c>
      <c r="L52" s="9">
        <v>0</v>
      </c>
      <c r="M52" s="9">
        <v>4750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D89B-E245-4F3C-B913-3BF9311D4FD5}">
  <dimension ref="A1:M34"/>
  <sheetViews>
    <sheetView topLeftCell="A31" workbookViewId="0">
      <selection activeCell="J8" sqref="J8"/>
    </sheetView>
  </sheetViews>
  <sheetFormatPr defaultRowHeight="14.4" x14ac:dyDescent="0.3"/>
  <sheetData>
    <row r="1" spans="1:13" x14ac:dyDescent="0.3">
      <c r="A1" s="9" t="s">
        <v>9</v>
      </c>
      <c r="B1" s="9" t="s">
        <v>0</v>
      </c>
      <c r="C1" s="9" t="s">
        <v>5</v>
      </c>
      <c r="D1" s="9" t="s">
        <v>1</v>
      </c>
      <c r="E1" s="9" t="s">
        <v>2</v>
      </c>
      <c r="F1" s="9" t="s">
        <v>3</v>
      </c>
      <c r="G1" s="9" t="s">
        <v>13</v>
      </c>
      <c r="H1" s="9" t="s">
        <v>12</v>
      </c>
      <c r="I1" s="9" t="s">
        <v>7</v>
      </c>
      <c r="J1" s="9" t="s">
        <v>8</v>
      </c>
      <c r="K1" s="9" t="s">
        <v>11</v>
      </c>
      <c r="L1" s="9" t="s">
        <v>6</v>
      </c>
      <c r="M1" s="9" t="s">
        <v>4</v>
      </c>
    </row>
    <row r="2" spans="1:13" x14ac:dyDescent="0.3">
      <c r="A2" s="9">
        <v>1991</v>
      </c>
      <c r="B2" s="9">
        <v>7.2126444230000004</v>
      </c>
      <c r="C2" s="9">
        <v>7.1268640620000001</v>
      </c>
      <c r="D2" s="9">
        <v>7.433253348</v>
      </c>
      <c r="E2" s="9">
        <v>7.1935467979999999</v>
      </c>
      <c r="F2" s="9">
        <v>7.2223532710000002</v>
      </c>
      <c r="G2" s="9" t="e">
        <v>#N/A</v>
      </c>
      <c r="H2" s="9">
        <v>7.2370764980000004</v>
      </c>
      <c r="I2" s="9">
        <v>7.268375936</v>
      </c>
      <c r="J2" s="9">
        <v>7.0729858610000003</v>
      </c>
      <c r="K2" s="9">
        <v>7.1492363059999997</v>
      </c>
      <c r="L2" s="9">
        <v>7.1762498680000002</v>
      </c>
      <c r="M2" s="9">
        <v>7.0662393840000002</v>
      </c>
    </row>
    <row r="3" spans="1:13" x14ac:dyDescent="0.3">
      <c r="A3" s="9">
        <v>1992</v>
      </c>
      <c r="B3" s="9">
        <v>7.2363683160000001</v>
      </c>
      <c r="C3" s="9">
        <v>7.1139239400000003</v>
      </c>
      <c r="D3" s="9">
        <v>7.403464585</v>
      </c>
      <c r="E3" s="9">
        <v>7.2444904159999997</v>
      </c>
      <c r="F3" s="9">
        <v>7.1984101960000002</v>
      </c>
      <c r="G3" s="9" t="e">
        <v>#N/A</v>
      </c>
      <c r="H3" s="9">
        <v>7.1706782349999996</v>
      </c>
      <c r="I3" s="9">
        <v>7.241176447</v>
      </c>
      <c r="J3" s="9">
        <v>7.1109589729999998</v>
      </c>
      <c r="K3" s="9">
        <v>7.2293767789999999</v>
      </c>
      <c r="L3" s="9">
        <v>7.2052696550000004</v>
      </c>
      <c r="M3" s="9">
        <v>7.1111239419999999</v>
      </c>
    </row>
    <row r="4" spans="1:13" x14ac:dyDescent="0.3">
      <c r="A4" s="9">
        <v>1993</v>
      </c>
      <c r="B4" s="9">
        <v>7.2230652270000002</v>
      </c>
      <c r="C4" s="9">
        <v>7.0567075490000004</v>
      </c>
      <c r="D4" s="9">
        <v>7.4099135839999999</v>
      </c>
      <c r="E4" s="9">
        <v>7.2742656280000002</v>
      </c>
      <c r="F4" s="9">
        <v>7.178404456</v>
      </c>
      <c r="G4" s="9" t="e">
        <v>#N/A</v>
      </c>
      <c r="H4" s="9">
        <v>7.1968585039999997</v>
      </c>
      <c r="I4" s="9">
        <v>7.2180710450000003</v>
      </c>
      <c r="J4" s="9">
        <v>7.1082949160000002</v>
      </c>
      <c r="K4" s="9">
        <v>7.2192264740000001</v>
      </c>
      <c r="L4" s="9">
        <v>7.1393278850000002</v>
      </c>
      <c r="M4" s="9">
        <v>7.1274093919999997</v>
      </c>
    </row>
    <row r="5" spans="1:13" x14ac:dyDescent="0.3">
      <c r="A5" s="9">
        <v>1994</v>
      </c>
      <c r="B5" s="9">
        <v>7.1998895269999998</v>
      </c>
      <c r="C5" s="9">
        <v>7.1193174270000004</v>
      </c>
      <c r="D5" s="9">
        <v>7.4204225319999999</v>
      </c>
      <c r="E5" s="9">
        <v>7.1738755889999997</v>
      </c>
      <c r="F5" s="9">
        <v>7.2123626859999996</v>
      </c>
      <c r="G5" s="9" t="e">
        <v>#N/A</v>
      </c>
      <c r="H5" s="9">
        <v>7.2549936859999997</v>
      </c>
      <c r="I5" s="9">
        <v>7.1972789669999999</v>
      </c>
      <c r="J5" s="9">
        <v>7.0586073989999996</v>
      </c>
      <c r="K5" s="9">
        <v>7.2366994589999996</v>
      </c>
      <c r="L5" s="9">
        <v>7.1832337190000004</v>
      </c>
      <c r="M5" s="9">
        <v>7.117236235</v>
      </c>
    </row>
    <row r="6" spans="1:13" x14ac:dyDescent="0.3">
      <c r="A6" s="9">
        <v>1995</v>
      </c>
      <c r="B6" s="9">
        <v>7.197997999</v>
      </c>
      <c r="C6" s="9">
        <v>7.1314406640000003</v>
      </c>
      <c r="D6" s="9">
        <v>7.4798414620000004</v>
      </c>
      <c r="E6" s="9">
        <v>7.2526563680000002</v>
      </c>
      <c r="F6" s="9">
        <v>7.2705799210000004</v>
      </c>
      <c r="G6" s="9" t="e">
        <v>#N/A</v>
      </c>
      <c r="H6" s="9">
        <v>7.2587735520000001</v>
      </c>
      <c r="I6" s="9">
        <v>7.2451817119999999</v>
      </c>
      <c r="J6" s="9">
        <v>7.0933935479999999</v>
      </c>
      <c r="K6" s="9">
        <v>7.2522413669999999</v>
      </c>
      <c r="L6" s="9">
        <v>7.1706614259999997</v>
      </c>
      <c r="M6" s="9">
        <v>7.1314406640000003</v>
      </c>
    </row>
    <row r="7" spans="1:13" x14ac:dyDescent="0.3">
      <c r="A7" s="9">
        <v>1996</v>
      </c>
      <c r="B7" s="9">
        <v>7.1986321310000001</v>
      </c>
      <c r="C7" s="9">
        <v>7.157432268</v>
      </c>
      <c r="D7" s="9">
        <v>7.490997803</v>
      </c>
      <c r="E7" s="9">
        <v>7.0871925469999999</v>
      </c>
      <c r="F7" s="9">
        <v>7.2579937970000001</v>
      </c>
      <c r="G7" s="9" t="e">
        <v>#N/A</v>
      </c>
      <c r="H7" s="9">
        <v>7.2401204000000003</v>
      </c>
      <c r="I7" s="9">
        <v>7.2837506090000002</v>
      </c>
      <c r="J7" s="9">
        <v>7.0912493230000004</v>
      </c>
      <c r="K7" s="9">
        <v>7.2378528009999998</v>
      </c>
      <c r="L7" s="9">
        <v>7.1865595500000001</v>
      </c>
      <c r="M7" s="9">
        <v>7.1523025220000003</v>
      </c>
    </row>
    <row r="8" spans="1:13" x14ac:dyDescent="0.3">
      <c r="A8" s="9">
        <v>1997</v>
      </c>
      <c r="B8" s="9">
        <v>7.2646403490000004</v>
      </c>
      <c r="C8" s="9">
        <v>7.1717704299999996</v>
      </c>
      <c r="D8" s="9">
        <v>7.4469619260000002</v>
      </c>
      <c r="E8" s="9">
        <v>7.2539672829999997</v>
      </c>
      <c r="F8" s="9">
        <v>7.2428174209999998</v>
      </c>
      <c r="G8" s="9" t="e">
        <v>#N/A</v>
      </c>
      <c r="H8" s="9">
        <v>7.1790642079999998</v>
      </c>
      <c r="I8" s="9">
        <v>7.2646403490000004</v>
      </c>
      <c r="J8" s="9">
        <v>7.1362384639999998</v>
      </c>
      <c r="K8" s="9">
        <v>7.1750395950000003</v>
      </c>
      <c r="L8" s="9">
        <v>7.1592798540000002</v>
      </c>
      <c r="M8" s="9">
        <v>7.15719628</v>
      </c>
    </row>
    <row r="9" spans="1:13" x14ac:dyDescent="0.3">
      <c r="A9" s="9">
        <v>1998</v>
      </c>
      <c r="B9" s="9">
        <v>7.2465984710000004</v>
      </c>
      <c r="C9" s="9">
        <v>7.1510854110000004</v>
      </c>
      <c r="D9" s="9">
        <v>7.472138824</v>
      </c>
      <c r="E9" s="9">
        <v>7.2458289310000001</v>
      </c>
      <c r="F9" s="9">
        <v>7.2458289310000001</v>
      </c>
      <c r="G9" s="9" t="e">
        <v>#N/A</v>
      </c>
      <c r="H9" s="9">
        <v>7.2475974650000001</v>
      </c>
      <c r="I9" s="9">
        <v>7.2866508860000003</v>
      </c>
      <c r="J9" s="9">
        <v>7.1609970169999997</v>
      </c>
      <c r="K9" s="9">
        <v>7.2047337310000001</v>
      </c>
      <c r="L9" s="9">
        <v>7.1847230529999999</v>
      </c>
      <c r="M9" s="9">
        <v>7.145816913</v>
      </c>
    </row>
    <row r="10" spans="1:13" x14ac:dyDescent="0.3">
      <c r="A10" s="9">
        <v>1999</v>
      </c>
      <c r="B10" s="9">
        <v>7.2884322829999997</v>
      </c>
      <c r="C10" s="9">
        <v>7.2223397609999997</v>
      </c>
      <c r="D10" s="9">
        <v>7.5160083640000002</v>
      </c>
      <c r="E10" s="9">
        <v>7.324530996</v>
      </c>
      <c r="F10" s="9">
        <v>7.2391711550000002</v>
      </c>
      <c r="G10" s="9" t="e">
        <v>#N/A</v>
      </c>
      <c r="H10" s="9">
        <v>7.2292208320000002</v>
      </c>
      <c r="I10" s="9">
        <v>7.3317513429999996</v>
      </c>
      <c r="J10" s="9">
        <v>7.2190228279999999</v>
      </c>
      <c r="K10" s="9">
        <v>7.2031334840000003</v>
      </c>
      <c r="L10" s="9">
        <v>7.2676720049999997</v>
      </c>
      <c r="M10" s="9">
        <v>7.2090181409999996</v>
      </c>
    </row>
    <row r="11" spans="1:13" x14ac:dyDescent="0.3">
      <c r="A11" s="9">
        <v>2000</v>
      </c>
      <c r="B11" s="9">
        <v>7.3709407689999997</v>
      </c>
      <c r="C11" s="9">
        <v>7.2470195310000003</v>
      </c>
      <c r="D11" s="9">
        <v>7.5649978180000002</v>
      </c>
      <c r="E11" s="9">
        <v>7.3572226900000004</v>
      </c>
      <c r="F11" s="9">
        <v>7.3121966819999997</v>
      </c>
      <c r="G11" s="9" t="e">
        <v>#N/A</v>
      </c>
      <c r="H11" s="9">
        <v>7.2857677360000004</v>
      </c>
      <c r="I11" s="9">
        <v>7.4082747869999999</v>
      </c>
      <c r="J11" s="9">
        <v>7.264344253</v>
      </c>
      <c r="K11" s="9">
        <v>7.2559118649999998</v>
      </c>
      <c r="L11" s="9">
        <v>7.2600612470000003</v>
      </c>
      <c r="M11" s="9">
        <v>7.2869868039999997</v>
      </c>
    </row>
    <row r="12" spans="1:13" x14ac:dyDescent="0.3">
      <c r="A12" s="9">
        <v>2001</v>
      </c>
      <c r="B12" s="9">
        <v>7.3949316239999998</v>
      </c>
      <c r="C12" s="9">
        <v>7.2975635780000001</v>
      </c>
      <c r="D12" s="9">
        <v>7.5787781340000002</v>
      </c>
      <c r="E12" s="9">
        <v>7.3675853199999999</v>
      </c>
      <c r="F12" s="9">
        <v>7.3556345199999997</v>
      </c>
      <c r="G12" s="9">
        <v>7.2649687409999997</v>
      </c>
      <c r="H12" s="9">
        <v>7.3255666420000001</v>
      </c>
      <c r="I12" s="9">
        <v>7.4451996139999999</v>
      </c>
      <c r="J12" s="9">
        <v>7.2815266200000002</v>
      </c>
      <c r="K12" s="9">
        <v>7.2660223579999998</v>
      </c>
      <c r="L12" s="9">
        <v>7.2407045879999998</v>
      </c>
      <c r="M12" s="9">
        <v>7.2815266200000002</v>
      </c>
    </row>
    <row r="13" spans="1:13" x14ac:dyDescent="0.3">
      <c r="A13" s="9">
        <v>2002</v>
      </c>
      <c r="B13" s="9">
        <v>7.4249414209999998</v>
      </c>
      <c r="C13" s="9">
        <v>7.3394710180000002</v>
      </c>
      <c r="D13" s="9">
        <v>7.6426535400000004</v>
      </c>
      <c r="E13" s="9">
        <v>7.4425809550000004</v>
      </c>
      <c r="F13" s="9">
        <v>7.3850714340000003</v>
      </c>
      <c r="G13" s="9">
        <v>7.2906884099999996</v>
      </c>
      <c r="H13" s="9">
        <v>7.3544779680000003</v>
      </c>
      <c r="I13" s="9">
        <v>7.5236360409999996</v>
      </c>
      <c r="J13" s="9">
        <v>7.3234011710000004</v>
      </c>
      <c r="K13" s="9">
        <v>7.2824739770000004</v>
      </c>
      <c r="L13" s="9">
        <v>7.340544918</v>
      </c>
      <c r="M13" s="9">
        <v>7.3694853910000004</v>
      </c>
    </row>
    <row r="14" spans="1:13" x14ac:dyDescent="0.3">
      <c r="A14" s="9">
        <v>2003</v>
      </c>
      <c r="B14" s="9">
        <v>7.4933988469999999</v>
      </c>
      <c r="C14" s="9">
        <v>7.396636226</v>
      </c>
      <c r="D14" s="9">
        <v>7.6091636490000001</v>
      </c>
      <c r="E14" s="9">
        <v>7.396636226</v>
      </c>
      <c r="F14" s="9">
        <v>7.3958666979999999</v>
      </c>
      <c r="G14" s="9">
        <v>7.2688028500000001</v>
      </c>
      <c r="H14" s="9">
        <v>7.3827728730000004</v>
      </c>
      <c r="I14" s="9">
        <v>7.5099649150000003</v>
      </c>
      <c r="J14" s="9">
        <v>7.3040764789999999</v>
      </c>
      <c r="K14" s="9">
        <v>7.2688028500000001</v>
      </c>
      <c r="L14" s="9">
        <v>7.327929073</v>
      </c>
      <c r="M14" s="9">
        <v>7.3297268950000003</v>
      </c>
    </row>
    <row r="15" spans="1:13" x14ac:dyDescent="0.3">
      <c r="A15" s="9">
        <v>2004</v>
      </c>
      <c r="B15" s="9">
        <v>7.446597047</v>
      </c>
      <c r="C15" s="9">
        <v>7.4504810299999997</v>
      </c>
      <c r="D15" s="9">
        <v>7.7189265799999998</v>
      </c>
      <c r="E15" s="9">
        <v>7.4705595020000004</v>
      </c>
      <c r="F15" s="9">
        <v>7.3953036900000004</v>
      </c>
      <c r="G15" s="9">
        <v>7.2994364059999999</v>
      </c>
      <c r="H15" s="9">
        <v>7.4163942819999997</v>
      </c>
      <c r="I15" s="9">
        <v>7.520649916</v>
      </c>
      <c r="J15" s="9">
        <v>7.3529457699999998</v>
      </c>
      <c r="K15" s="9">
        <v>7.320952256</v>
      </c>
      <c r="L15" s="9">
        <v>7.3420060620000003</v>
      </c>
      <c r="M15" s="9">
        <v>7.3306248749999998</v>
      </c>
    </row>
    <row r="16" spans="1:13" x14ac:dyDescent="0.3">
      <c r="A16" s="9">
        <v>2005</v>
      </c>
      <c r="B16" s="9">
        <v>7.488895683</v>
      </c>
      <c r="C16" s="9">
        <v>7.4105610300000002</v>
      </c>
      <c r="D16" s="9">
        <v>7.8067865059999999</v>
      </c>
      <c r="E16" s="9">
        <v>7.4283011559999998</v>
      </c>
      <c r="F16" s="9">
        <v>7.4259209149999998</v>
      </c>
      <c r="G16" s="9">
        <v>7.3316102379999997</v>
      </c>
      <c r="H16" s="9">
        <v>7.4415205889999996</v>
      </c>
      <c r="I16" s="9">
        <v>7.5256983020000003</v>
      </c>
      <c r="J16" s="9">
        <v>7.3617671270000002</v>
      </c>
      <c r="K16" s="9">
        <v>7.321329929</v>
      </c>
      <c r="L16" s="9">
        <v>7.3570974040000001</v>
      </c>
      <c r="M16" s="9">
        <v>7.3806448260000002</v>
      </c>
    </row>
    <row r="17" spans="1:13" x14ac:dyDescent="0.3">
      <c r="A17" s="9">
        <v>2006</v>
      </c>
      <c r="B17" s="9">
        <v>7.516105069</v>
      </c>
      <c r="C17" s="9">
        <v>7.4716533060000003</v>
      </c>
      <c r="D17" s="9">
        <v>7.7530042960000003</v>
      </c>
      <c r="E17" s="9">
        <v>7.4768843550000001</v>
      </c>
      <c r="F17" s="9">
        <v>7.4512206299999999</v>
      </c>
      <c r="G17" s="9">
        <v>7.3564458159999999</v>
      </c>
      <c r="H17" s="9">
        <v>7.4385652059999998</v>
      </c>
      <c r="I17" s="9">
        <v>7.5202135300000004</v>
      </c>
      <c r="J17" s="9">
        <v>7.3771126239999996</v>
      </c>
      <c r="K17" s="9">
        <v>7.3032208949999999</v>
      </c>
      <c r="L17" s="9">
        <v>7.3771126239999996</v>
      </c>
      <c r="M17" s="9">
        <v>7.4512206299999999</v>
      </c>
    </row>
    <row r="18" spans="1:13" x14ac:dyDescent="0.3">
      <c r="A18" s="9">
        <v>2007</v>
      </c>
      <c r="B18" s="9">
        <v>7.5033811420000003</v>
      </c>
      <c r="C18" s="9">
        <v>7.4962434670000002</v>
      </c>
      <c r="D18" s="9">
        <v>7.7843102999999996</v>
      </c>
      <c r="E18" s="9">
        <v>7.5433243599999997</v>
      </c>
      <c r="F18" s="9">
        <v>7.4586171239999999</v>
      </c>
      <c r="G18" s="9">
        <v>7.352757843</v>
      </c>
      <c r="H18" s="9">
        <v>7.4328005800000003</v>
      </c>
      <c r="I18" s="9">
        <v>7.5357736299999996</v>
      </c>
      <c r="J18" s="9">
        <v>7.4276353469999998</v>
      </c>
      <c r="K18" s="9">
        <v>7.325970935</v>
      </c>
      <c r="L18" s="9">
        <v>7.3534563559999997</v>
      </c>
      <c r="M18" s="9">
        <v>7.4374475359999996</v>
      </c>
    </row>
    <row r="19" spans="1:13" x14ac:dyDescent="0.3">
      <c r="A19" s="9">
        <v>2008</v>
      </c>
      <c r="B19" s="9">
        <v>7.4314782770000001</v>
      </c>
      <c r="C19" s="9">
        <v>7.4088729139999998</v>
      </c>
      <c r="D19" s="9">
        <v>7.7886537520000001</v>
      </c>
      <c r="E19" s="9">
        <v>7.4947287740000004</v>
      </c>
      <c r="F19" s="9">
        <v>7.4723002449999996</v>
      </c>
      <c r="G19" s="9">
        <v>7.3434674309999997</v>
      </c>
      <c r="H19" s="9">
        <v>7.4612504360000003</v>
      </c>
      <c r="I19" s="9">
        <v>7.4886493840000004</v>
      </c>
      <c r="J19" s="9">
        <v>7.393027096</v>
      </c>
      <c r="K19" s="9">
        <v>7.3589715570000003</v>
      </c>
      <c r="L19" s="9">
        <v>7.4179949269999996</v>
      </c>
      <c r="M19" s="9">
        <v>7.4040919929999998</v>
      </c>
    </row>
    <row r="20" spans="1:13" x14ac:dyDescent="0.3">
      <c r="A20" s="9">
        <v>2009</v>
      </c>
      <c r="B20" s="9">
        <v>7.4720288999999998</v>
      </c>
      <c r="C20" s="9">
        <v>7.3457708019999997</v>
      </c>
      <c r="D20" s="9">
        <v>7.5956994260000004</v>
      </c>
      <c r="E20" s="9">
        <v>7.3476625139999996</v>
      </c>
      <c r="F20" s="9">
        <v>7.4007440889999998</v>
      </c>
      <c r="G20" s="9">
        <v>7.3632631709999998</v>
      </c>
      <c r="H20" s="9">
        <v>7.4420363329999999</v>
      </c>
      <c r="I20" s="9">
        <v>7.5218657660000003</v>
      </c>
      <c r="J20" s="9">
        <v>7.3718117730000001</v>
      </c>
      <c r="K20" s="9">
        <v>7.3240374890000002</v>
      </c>
      <c r="L20" s="9">
        <v>7.353843972</v>
      </c>
      <c r="M20" s="9">
        <v>7.3240374890000002</v>
      </c>
    </row>
    <row r="21" spans="1:13" x14ac:dyDescent="0.3">
      <c r="A21" s="9">
        <v>2010</v>
      </c>
      <c r="B21" s="9">
        <v>7.4831957940000002</v>
      </c>
      <c r="C21" s="9">
        <v>7.360046079</v>
      </c>
      <c r="D21" s="9">
        <v>7.5713527889999996</v>
      </c>
      <c r="E21" s="9">
        <v>7.4172021089999998</v>
      </c>
      <c r="F21" s="9">
        <v>7.405915298</v>
      </c>
      <c r="G21" s="9">
        <v>7.3301907320000002</v>
      </c>
      <c r="H21" s="9">
        <v>7.4355853999999999</v>
      </c>
      <c r="I21" s="9">
        <v>7.5135239250000003</v>
      </c>
      <c r="J21" s="9">
        <v>7.360046079</v>
      </c>
      <c r="K21" s="9">
        <v>7.317748946</v>
      </c>
      <c r="L21" s="9">
        <v>7.3647287620000004</v>
      </c>
      <c r="M21" s="9">
        <v>7.3482092379999999</v>
      </c>
    </row>
    <row r="22" spans="1:13" x14ac:dyDescent="0.3">
      <c r="A22" s="9">
        <v>2011</v>
      </c>
      <c r="B22" s="9">
        <v>7.4570239770000004</v>
      </c>
      <c r="C22" s="9">
        <v>7.310430126</v>
      </c>
      <c r="D22" s="9">
        <v>7.5800347410000004</v>
      </c>
      <c r="E22" s="9">
        <v>7.3793658879999997</v>
      </c>
      <c r="F22" s="9">
        <v>7.3797624959999997</v>
      </c>
      <c r="G22" s="9">
        <v>7.3511926949999999</v>
      </c>
      <c r="H22" s="9">
        <v>7.4334309760000004</v>
      </c>
      <c r="I22" s="9">
        <v>7.5083570010000003</v>
      </c>
      <c r="J22" s="9">
        <v>7.3793658879999997</v>
      </c>
      <c r="K22" s="9">
        <v>7.3103730169999999</v>
      </c>
      <c r="L22" s="9">
        <v>7.361425895</v>
      </c>
      <c r="M22" s="9">
        <v>7.3285426889999998</v>
      </c>
    </row>
    <row r="23" spans="1:13" x14ac:dyDescent="0.3">
      <c r="A23" s="9">
        <v>2012</v>
      </c>
      <c r="B23" s="9">
        <v>7.4219282580000003</v>
      </c>
      <c r="C23" s="9">
        <v>7.298459072</v>
      </c>
      <c r="D23" s="9">
        <v>7.5473304380000004</v>
      </c>
      <c r="E23" s="9">
        <v>7.3360190520000002</v>
      </c>
      <c r="F23" s="9">
        <v>7.3931797579999996</v>
      </c>
      <c r="G23" s="9">
        <v>7.3200574930000002</v>
      </c>
      <c r="H23" s="9">
        <v>7.4298912640000001</v>
      </c>
      <c r="I23" s="9">
        <v>7.4791221879999998</v>
      </c>
      <c r="J23" s="9">
        <v>7.3539590449999999</v>
      </c>
      <c r="K23" s="9">
        <v>7.2849661729999999</v>
      </c>
      <c r="L23" s="9">
        <v>7.347940972</v>
      </c>
      <c r="M23" s="9">
        <v>7.2956234679999996</v>
      </c>
    </row>
    <row r="24" spans="1:13" x14ac:dyDescent="0.3">
      <c r="A24" s="9">
        <v>2013</v>
      </c>
      <c r="B24" s="9">
        <v>7.395839542</v>
      </c>
      <c r="C24" s="9">
        <v>7.3313010209999998</v>
      </c>
      <c r="D24" s="9">
        <v>7.5490969659999996</v>
      </c>
      <c r="E24" s="9">
        <v>7.3450917029999996</v>
      </c>
      <c r="F24" s="9">
        <v>7.3448191850000004</v>
      </c>
      <c r="G24" s="9">
        <v>7.3313010209999998</v>
      </c>
      <c r="H24" s="9">
        <v>7.4113437290000004</v>
      </c>
      <c r="I24" s="9">
        <v>7.4736682200000004</v>
      </c>
      <c r="J24" s="9">
        <v>7.3313010209999998</v>
      </c>
      <c r="K24" s="9">
        <v>7.2623081489999999</v>
      </c>
      <c r="L24" s="9">
        <v>7.3313010209999998</v>
      </c>
      <c r="M24" s="9">
        <v>7.2932529529999996</v>
      </c>
    </row>
    <row r="25" spans="1:13" x14ac:dyDescent="0.3">
      <c r="A25" s="9">
        <v>2014</v>
      </c>
      <c r="B25" s="9">
        <v>7.4615137669999996</v>
      </c>
      <c r="C25" s="9">
        <v>7.3175004939999999</v>
      </c>
      <c r="D25" s="9">
        <v>7.4992156559999996</v>
      </c>
      <c r="E25" s="9">
        <v>7.38143262</v>
      </c>
      <c r="F25" s="9">
        <v>7.3709591870000004</v>
      </c>
      <c r="G25" s="9">
        <v>7.3168940989999998</v>
      </c>
      <c r="H25" s="9">
        <v>7.4177312549999996</v>
      </c>
      <c r="I25" s="9">
        <v>7.4922469869999997</v>
      </c>
      <c r="J25" s="9">
        <v>7.3228099159999998</v>
      </c>
      <c r="K25" s="9">
        <v>7.3168940989999998</v>
      </c>
      <c r="L25" s="9">
        <v>7.3135551980000004</v>
      </c>
      <c r="M25" s="9">
        <v>7.2915762910000002</v>
      </c>
    </row>
    <row r="26" spans="1:13" x14ac:dyDescent="0.3">
      <c r="A26" s="9">
        <v>2015</v>
      </c>
      <c r="B26" s="9">
        <v>7.4400292629999996</v>
      </c>
      <c r="C26" s="9">
        <v>7.3354840489999997</v>
      </c>
      <c r="D26" s="9">
        <v>7.5373203469999996</v>
      </c>
      <c r="E26" s="9">
        <v>7.3132203870000003</v>
      </c>
      <c r="F26" s="9">
        <v>7.3398623179999998</v>
      </c>
      <c r="G26" s="9">
        <v>7.3132203870000003</v>
      </c>
      <c r="H26" s="9">
        <v>7.4268406909999998</v>
      </c>
      <c r="I26" s="9">
        <v>7.4955419440000002</v>
      </c>
      <c r="J26" s="9">
        <v>7.3219587419999996</v>
      </c>
      <c r="K26" s="9">
        <v>7.3153474909999998</v>
      </c>
      <c r="L26" s="9">
        <v>7.3132203870000003</v>
      </c>
      <c r="M26" s="9">
        <v>7.3132203870000003</v>
      </c>
    </row>
    <row r="27" spans="1:13" x14ac:dyDescent="0.3">
      <c r="A27" s="9">
        <v>2016</v>
      </c>
      <c r="B27" s="9">
        <v>7.485508276</v>
      </c>
      <c r="C27" s="9">
        <v>7.3593023400000002</v>
      </c>
      <c r="D27" s="9">
        <v>7.5849462589999996</v>
      </c>
      <c r="E27" s="9">
        <v>7.4015224379999998</v>
      </c>
      <c r="F27" s="9">
        <v>7.3427982959999998</v>
      </c>
      <c r="G27" s="9">
        <v>7.3142387820000003</v>
      </c>
      <c r="H27" s="9">
        <v>7.457337399</v>
      </c>
      <c r="I27" s="9">
        <v>7.5038555730000001</v>
      </c>
      <c r="J27" s="9">
        <v>7.3777807910000002</v>
      </c>
      <c r="K27" s="9">
        <v>7.3572802560000001</v>
      </c>
      <c r="L27" s="9">
        <v>7.357251808</v>
      </c>
      <c r="M27" s="9">
        <v>7.3053244069999996</v>
      </c>
    </row>
    <row r="28" spans="1:13" x14ac:dyDescent="0.3">
      <c r="A28" s="9">
        <v>2017</v>
      </c>
      <c r="B28" s="9">
        <v>7.4602523510000003</v>
      </c>
      <c r="C28" s="9">
        <v>7.3424693159999999</v>
      </c>
      <c r="D28" s="9">
        <v>7.5649726380000004</v>
      </c>
      <c r="E28" s="9">
        <v>7.4026997159999999</v>
      </c>
      <c r="F28" s="9">
        <v>7.3424693159999999</v>
      </c>
      <c r="G28" s="9">
        <v>7.2936923050000004</v>
      </c>
      <c r="H28" s="9">
        <v>7.4520689339999997</v>
      </c>
      <c r="I28" s="9">
        <v>7.4602523510000003</v>
      </c>
      <c r="J28" s="9">
        <v>7.3756622829999996</v>
      </c>
      <c r="K28" s="9">
        <v>7.3012109990000003</v>
      </c>
      <c r="L28" s="9">
        <v>7.3424693159999999</v>
      </c>
      <c r="M28" s="9">
        <v>7.3171515080000002</v>
      </c>
    </row>
    <row r="29" spans="1:13" x14ac:dyDescent="0.3">
      <c r="A29" s="9">
        <v>2018</v>
      </c>
      <c r="B29" s="9">
        <v>7.4375828579999999</v>
      </c>
      <c r="C29" s="9">
        <v>7.3542583060000002</v>
      </c>
      <c r="D29" s="9">
        <v>7.542943374</v>
      </c>
      <c r="E29" s="9">
        <v>7.3998405820000004</v>
      </c>
      <c r="F29" s="9">
        <v>7.3737729490000001</v>
      </c>
      <c r="G29" s="9">
        <v>7.2813862289999998</v>
      </c>
      <c r="H29" s="9">
        <v>7.4604689860000004</v>
      </c>
      <c r="I29" s="9">
        <v>7.4948029979999999</v>
      </c>
      <c r="J29" s="9">
        <v>7.3745365679999999</v>
      </c>
      <c r="K29" s="9">
        <v>7.3353040089999997</v>
      </c>
      <c r="L29" s="9">
        <v>7.3596933829999998</v>
      </c>
      <c r="M29" s="9">
        <v>7.3197998220000002</v>
      </c>
    </row>
    <row r="30" spans="1:13" x14ac:dyDescent="0.3">
      <c r="A30" s="9">
        <v>2019</v>
      </c>
      <c r="B30" s="9">
        <v>7.4744183560000002</v>
      </c>
      <c r="C30" s="9">
        <v>7.3826088580000002</v>
      </c>
      <c r="D30" s="9">
        <v>7.6057558600000004</v>
      </c>
      <c r="E30" s="9">
        <v>7.3921802579999998</v>
      </c>
      <c r="F30" s="9">
        <v>7.3921802579999998</v>
      </c>
      <c r="G30" s="9">
        <v>7.3390596950000004</v>
      </c>
      <c r="H30" s="9">
        <v>7.5169584150000004</v>
      </c>
      <c r="I30" s="9">
        <v>7.5257116499999999</v>
      </c>
      <c r="J30" s="9">
        <v>7.4075312929999999</v>
      </c>
      <c r="K30" s="9">
        <v>7.3626278779999996</v>
      </c>
      <c r="L30" s="9">
        <v>7.406017802</v>
      </c>
      <c r="M30" s="9">
        <v>7.3826088580000002</v>
      </c>
    </row>
    <row r="31" spans="1:13" x14ac:dyDescent="0.3">
      <c r="A31" s="9">
        <v>2020</v>
      </c>
      <c r="B31" s="9">
        <v>7.5158654169999997</v>
      </c>
      <c r="C31" s="9">
        <v>7.4105049010000004</v>
      </c>
      <c r="D31" s="9">
        <v>7.6535120330000002</v>
      </c>
      <c r="E31" s="9">
        <v>7.4105049010000004</v>
      </c>
      <c r="F31" s="9">
        <v>7.4688704479999997</v>
      </c>
      <c r="G31" s="9">
        <v>7.372762625</v>
      </c>
      <c r="H31" s="9">
        <v>7.5158654169999997</v>
      </c>
      <c r="I31" s="9">
        <v>7.528287937</v>
      </c>
      <c r="J31" s="9">
        <v>7.416597415</v>
      </c>
      <c r="K31" s="9">
        <v>7.4105049010000004</v>
      </c>
      <c r="L31" s="9">
        <v>7.4164207309999997</v>
      </c>
      <c r="M31" s="9">
        <v>7.4270232629999997</v>
      </c>
    </row>
    <row r="32" spans="1:13" x14ac:dyDescent="0.3">
      <c r="A32" s="9">
        <v>2021</v>
      </c>
      <c r="B32" s="9">
        <v>7.5397837540000001</v>
      </c>
      <c r="C32" s="9">
        <v>7.4397002959999998</v>
      </c>
      <c r="D32" s="9">
        <v>7.7140631129999999</v>
      </c>
      <c r="E32" s="9">
        <v>7.4656757819999999</v>
      </c>
      <c r="F32" s="9">
        <v>7.4666646349999999</v>
      </c>
      <c r="G32" s="9">
        <v>7.3856330740000002</v>
      </c>
      <c r="H32" s="9">
        <v>7.5397837540000001</v>
      </c>
      <c r="I32" s="9">
        <v>7.568502649</v>
      </c>
      <c r="J32" s="9">
        <v>7.4661628179999999</v>
      </c>
      <c r="K32" s="9">
        <v>7.4197660809999997</v>
      </c>
      <c r="L32" s="9">
        <v>7.4666619819999998</v>
      </c>
      <c r="M32" s="9">
        <v>7.4640899269999998</v>
      </c>
    </row>
    <row r="33" spans="1:13" x14ac:dyDescent="0.3">
      <c r="A33" s="9">
        <v>2022</v>
      </c>
      <c r="B33" s="9">
        <v>7.5517582220000001</v>
      </c>
      <c r="C33" s="9">
        <v>7.4147545800000003</v>
      </c>
      <c r="D33" s="9">
        <v>7.6989892480000002</v>
      </c>
      <c r="E33" s="9">
        <v>7.4656569169999996</v>
      </c>
      <c r="F33" s="9">
        <v>7.4383490209999996</v>
      </c>
      <c r="G33" s="9">
        <v>7.4147545800000003</v>
      </c>
      <c r="H33" s="9">
        <v>7.5298673870000004</v>
      </c>
      <c r="I33" s="9">
        <v>7.5970761360000001</v>
      </c>
      <c r="J33" s="9">
        <v>7.4620997869999997</v>
      </c>
      <c r="K33" s="9">
        <v>7.3721967270000004</v>
      </c>
      <c r="L33" s="9">
        <v>7.463544744</v>
      </c>
      <c r="M33" s="9">
        <v>7.4197421209999996</v>
      </c>
    </row>
    <row r="34" spans="1:13" x14ac:dyDescent="0.3">
      <c r="A34" s="9">
        <v>2023</v>
      </c>
      <c r="B34" s="9">
        <v>7.5717667999999998</v>
      </c>
      <c r="C34" s="9">
        <v>7.4324449369999996</v>
      </c>
      <c r="D34" s="9">
        <v>7.6899499159999998</v>
      </c>
      <c r="E34" s="9">
        <v>7.473534763</v>
      </c>
      <c r="F34" s="9">
        <v>7.4290675390000001</v>
      </c>
      <c r="G34" s="9">
        <v>7.4093749349999998</v>
      </c>
      <c r="H34" s="9">
        <v>7.5314824089999997</v>
      </c>
      <c r="I34" s="9">
        <v>7.572582809</v>
      </c>
      <c r="J34" s="9">
        <v>7.4853009469999998</v>
      </c>
      <c r="K34" s="9">
        <v>7.3978134930000001</v>
      </c>
      <c r="L34" s="9">
        <v>7.4645816690000002</v>
      </c>
      <c r="M34" s="9">
        <v>7.4390148800000002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320F-88D0-42EF-952F-9848A1E49B29}">
  <dimension ref="A1:B1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14</v>
      </c>
      <c r="B1" t="s">
        <v>16</v>
      </c>
    </row>
    <row r="2" spans="1:2" x14ac:dyDescent="0.3">
      <c r="A2" s="9" t="s">
        <v>0</v>
      </c>
      <c r="B2" s="9">
        <v>7.4032555799999997</v>
      </c>
    </row>
    <row r="3" spans="1:2" x14ac:dyDescent="0.3">
      <c r="A3" s="9" t="s">
        <v>5</v>
      </c>
      <c r="B3" s="9">
        <v>7.30922481178788</v>
      </c>
    </row>
    <row r="4" spans="1:2" x14ac:dyDescent="0.3">
      <c r="A4" s="9" t="s">
        <v>1</v>
      </c>
      <c r="B4" s="9">
        <v>7.5834987820303015</v>
      </c>
    </row>
    <row r="5" spans="1:2" x14ac:dyDescent="0.3">
      <c r="A5" s="9" t="s">
        <v>2</v>
      </c>
      <c r="B5" s="9">
        <v>7.3624178037575758</v>
      </c>
    </row>
    <row r="6" spans="1:2" x14ac:dyDescent="0.3">
      <c r="A6" s="9" t="s">
        <v>3</v>
      </c>
      <c r="B6" s="9">
        <v>7.3518020777272719</v>
      </c>
    </row>
    <row r="7" spans="1:2" x14ac:dyDescent="0.3">
      <c r="A7" s="9" t="s">
        <v>13</v>
      </c>
      <c r="B7" s="9">
        <v>7.3323999807826077</v>
      </c>
    </row>
    <row r="8" spans="1:2" x14ac:dyDescent="0.3">
      <c r="A8" s="9" t="s">
        <v>12</v>
      </c>
      <c r="B8" s="9">
        <v>7.3804300618484859</v>
      </c>
    </row>
    <row r="9" spans="1:2" x14ac:dyDescent="0.3">
      <c r="A9" s="9" t="s">
        <v>7</v>
      </c>
      <c r="B9" s="9">
        <v>7.4409192590000002</v>
      </c>
    </row>
    <row r="10" spans="1:2" x14ac:dyDescent="0.3">
      <c r="A10" s="9" t="s">
        <v>8</v>
      </c>
      <c r="B10" s="9">
        <v>7.3013487630909095</v>
      </c>
    </row>
    <row r="11" spans="1:2" x14ac:dyDescent="0.3">
      <c r="A11" s="9" t="s">
        <v>11</v>
      </c>
      <c r="B11" s="9">
        <v>7.2939265553333321</v>
      </c>
    </row>
    <row r="12" spans="1:2" x14ac:dyDescent="0.3">
      <c r="A12" s="9" t="s">
        <v>6</v>
      </c>
      <c r="B12" s="9">
        <v>7.3137133895757582</v>
      </c>
    </row>
    <row r="13" spans="1:2" x14ac:dyDescent="0.3">
      <c r="A13" s="9" t="s">
        <v>4</v>
      </c>
      <c r="B13" s="9">
        <v>7.2957198892121209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D3C2-0C12-4CA7-A629-7495838D7080}">
  <dimension ref="A1:M52"/>
  <sheetViews>
    <sheetView topLeftCell="A34" workbookViewId="0">
      <selection sqref="A1:M52"/>
    </sheetView>
  </sheetViews>
  <sheetFormatPr defaultRowHeight="14.4" x14ac:dyDescent="0.3"/>
  <cols>
    <col min="6" max="6" width="13.44140625" bestFit="1" customWidth="1"/>
  </cols>
  <sheetData>
    <row r="1" spans="1:13" x14ac:dyDescent="0.3">
      <c r="A1" s="6" t="s">
        <v>9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0</v>
      </c>
      <c r="H1" s="6" t="s">
        <v>1</v>
      </c>
      <c r="I1" s="6" t="s">
        <v>7</v>
      </c>
      <c r="J1" s="6" t="s">
        <v>8</v>
      </c>
      <c r="K1" s="8" t="s">
        <v>11</v>
      </c>
      <c r="L1" s="8" t="s">
        <v>12</v>
      </c>
      <c r="M1" s="8" t="s">
        <v>13</v>
      </c>
    </row>
    <row r="2" spans="1:13" x14ac:dyDescent="0.3">
      <c r="A2" s="5">
        <v>1975</v>
      </c>
      <c r="B2" s="5">
        <v>2</v>
      </c>
      <c r="C2" s="5">
        <v>4</v>
      </c>
      <c r="D2" s="5">
        <v>5</v>
      </c>
      <c r="E2" s="5">
        <v>3</v>
      </c>
      <c r="F2" s="5">
        <v>4</v>
      </c>
      <c r="G2" s="5">
        <v>3</v>
      </c>
      <c r="H2" s="5">
        <v>3</v>
      </c>
      <c r="I2" s="5">
        <v>7</v>
      </c>
      <c r="J2" s="5">
        <v>3</v>
      </c>
      <c r="K2" s="7">
        <v>1</v>
      </c>
      <c r="L2" s="7">
        <v>8</v>
      </c>
      <c r="M2" s="7">
        <v>2</v>
      </c>
    </row>
    <row r="3" spans="1:13" x14ac:dyDescent="0.3">
      <c r="A3" s="5">
        <v>1976</v>
      </c>
      <c r="B3" s="5">
        <v>2</v>
      </c>
      <c r="C3" s="5">
        <v>4</v>
      </c>
      <c r="D3" s="5">
        <v>5</v>
      </c>
      <c r="E3" s="5">
        <v>3</v>
      </c>
      <c r="F3" s="5">
        <v>4</v>
      </c>
      <c r="G3" s="5">
        <v>3</v>
      </c>
      <c r="H3" s="5">
        <v>3</v>
      </c>
      <c r="I3" s="5">
        <v>7</v>
      </c>
      <c r="J3" s="5">
        <v>3</v>
      </c>
      <c r="K3" s="7">
        <v>1</v>
      </c>
      <c r="L3" s="7">
        <v>8</v>
      </c>
      <c r="M3" s="7">
        <v>2</v>
      </c>
    </row>
    <row r="4" spans="1:13" x14ac:dyDescent="0.3">
      <c r="A4" s="5">
        <v>1977</v>
      </c>
      <c r="B4" s="5">
        <v>2</v>
      </c>
      <c r="C4" s="5">
        <v>4</v>
      </c>
      <c r="D4" s="5">
        <v>5</v>
      </c>
      <c r="E4" s="5">
        <v>3</v>
      </c>
      <c r="F4" s="5">
        <v>4</v>
      </c>
      <c r="G4" s="5">
        <v>3</v>
      </c>
      <c r="H4" s="5">
        <v>3</v>
      </c>
      <c r="I4" s="5">
        <v>7</v>
      </c>
      <c r="J4" s="5">
        <v>3</v>
      </c>
      <c r="K4" s="7">
        <v>1</v>
      </c>
      <c r="L4" s="7">
        <v>8</v>
      </c>
      <c r="M4" s="7">
        <v>2</v>
      </c>
    </row>
    <row r="5" spans="1:13" x14ac:dyDescent="0.3">
      <c r="A5" s="5">
        <v>1978</v>
      </c>
      <c r="B5" s="5">
        <v>2</v>
      </c>
      <c r="C5" s="5">
        <v>4</v>
      </c>
      <c r="D5" s="5">
        <v>5</v>
      </c>
      <c r="E5" s="5">
        <v>3</v>
      </c>
      <c r="F5" s="5">
        <v>4</v>
      </c>
      <c r="G5" s="5">
        <v>3</v>
      </c>
      <c r="H5" s="5">
        <v>3</v>
      </c>
      <c r="I5" s="5">
        <v>7</v>
      </c>
      <c r="J5" s="5">
        <v>3</v>
      </c>
      <c r="K5" s="7">
        <v>1</v>
      </c>
      <c r="L5" s="7">
        <v>8</v>
      </c>
      <c r="M5" s="7">
        <v>2</v>
      </c>
    </row>
    <row r="6" spans="1:13" x14ac:dyDescent="0.3">
      <c r="A6" s="5">
        <v>1979</v>
      </c>
      <c r="B6" s="5">
        <v>2</v>
      </c>
      <c r="C6" s="5">
        <v>4</v>
      </c>
      <c r="D6" s="5">
        <v>5</v>
      </c>
      <c r="E6" s="5">
        <v>3</v>
      </c>
      <c r="F6" s="5">
        <v>4</v>
      </c>
      <c r="G6" s="5">
        <v>3</v>
      </c>
      <c r="H6" s="5">
        <v>3</v>
      </c>
      <c r="I6" s="5">
        <v>7</v>
      </c>
      <c r="J6" s="5">
        <v>3</v>
      </c>
      <c r="K6" s="7">
        <v>1</v>
      </c>
      <c r="L6" s="7">
        <v>8</v>
      </c>
      <c r="M6" s="7">
        <v>2</v>
      </c>
    </row>
    <row r="7" spans="1:13" x14ac:dyDescent="0.3">
      <c r="A7" s="5">
        <v>1980</v>
      </c>
      <c r="B7" s="5">
        <v>2</v>
      </c>
      <c r="C7" s="5">
        <v>4</v>
      </c>
      <c r="D7" s="5">
        <v>5</v>
      </c>
      <c r="E7" s="5">
        <v>3</v>
      </c>
      <c r="F7" s="5">
        <v>4</v>
      </c>
      <c r="G7" s="5">
        <v>3</v>
      </c>
      <c r="H7" s="5">
        <v>3</v>
      </c>
      <c r="I7" s="5">
        <v>7</v>
      </c>
      <c r="J7" s="5">
        <v>3</v>
      </c>
      <c r="K7" s="7">
        <v>1</v>
      </c>
      <c r="L7" s="7">
        <v>8</v>
      </c>
      <c r="M7" s="7">
        <v>2</v>
      </c>
    </row>
    <row r="8" spans="1:13" x14ac:dyDescent="0.3">
      <c r="A8" s="5">
        <v>1981</v>
      </c>
      <c r="B8" s="5">
        <v>2</v>
      </c>
      <c r="C8" s="5">
        <v>4</v>
      </c>
      <c r="D8" s="5">
        <v>5</v>
      </c>
      <c r="E8" s="5">
        <v>3</v>
      </c>
      <c r="F8" s="5">
        <v>4</v>
      </c>
      <c r="G8" s="5">
        <v>3</v>
      </c>
      <c r="H8" s="5">
        <v>3</v>
      </c>
      <c r="I8" s="5">
        <v>7</v>
      </c>
      <c r="J8" s="5">
        <v>3</v>
      </c>
      <c r="K8" s="7">
        <v>1</v>
      </c>
      <c r="L8" s="7">
        <v>8</v>
      </c>
      <c r="M8" s="7">
        <v>2</v>
      </c>
    </row>
    <row r="9" spans="1:13" x14ac:dyDescent="0.3">
      <c r="A9" s="5">
        <v>1982</v>
      </c>
      <c r="B9" s="5">
        <v>2</v>
      </c>
      <c r="C9" s="5">
        <v>4</v>
      </c>
      <c r="D9" s="5">
        <v>5</v>
      </c>
      <c r="E9" s="5">
        <v>3</v>
      </c>
      <c r="F9" s="5">
        <v>4</v>
      </c>
      <c r="G9" s="5">
        <v>3</v>
      </c>
      <c r="H9" s="5">
        <v>3</v>
      </c>
      <c r="I9" s="5">
        <v>7</v>
      </c>
      <c r="J9" s="5">
        <v>3</v>
      </c>
      <c r="K9" s="7">
        <v>1</v>
      </c>
      <c r="L9" s="7">
        <v>8</v>
      </c>
      <c r="M9" s="7">
        <v>2</v>
      </c>
    </row>
    <row r="10" spans="1:13" x14ac:dyDescent="0.3">
      <c r="A10" s="5">
        <v>1983</v>
      </c>
      <c r="B10" s="5">
        <v>2</v>
      </c>
      <c r="C10" s="5">
        <v>4</v>
      </c>
      <c r="D10" s="5">
        <v>5</v>
      </c>
      <c r="E10" s="5">
        <v>3</v>
      </c>
      <c r="F10" s="5">
        <v>4</v>
      </c>
      <c r="G10" s="5">
        <v>3</v>
      </c>
      <c r="H10" s="5">
        <v>3</v>
      </c>
      <c r="I10" s="5">
        <v>8</v>
      </c>
      <c r="J10" s="5">
        <v>3</v>
      </c>
      <c r="K10" s="7">
        <v>1</v>
      </c>
      <c r="L10" s="7">
        <v>8</v>
      </c>
      <c r="M10" s="7">
        <v>2</v>
      </c>
    </row>
    <row r="11" spans="1:13" x14ac:dyDescent="0.3">
      <c r="A11" s="5">
        <v>1984</v>
      </c>
      <c r="B11" s="5">
        <v>2</v>
      </c>
      <c r="C11" s="5">
        <v>4</v>
      </c>
      <c r="D11" s="5">
        <v>5</v>
      </c>
      <c r="E11" s="5">
        <v>3</v>
      </c>
      <c r="F11" s="5">
        <v>4</v>
      </c>
      <c r="G11" s="5">
        <v>3</v>
      </c>
      <c r="H11" s="5">
        <v>3</v>
      </c>
      <c r="I11" s="5">
        <v>8</v>
      </c>
      <c r="J11" s="5">
        <v>3</v>
      </c>
      <c r="K11" s="7">
        <v>1</v>
      </c>
      <c r="L11" s="7">
        <v>8</v>
      </c>
      <c r="M11" s="7">
        <v>2</v>
      </c>
    </row>
    <row r="12" spans="1:13" x14ac:dyDescent="0.3">
      <c r="A12" s="5">
        <v>1985</v>
      </c>
      <c r="B12" s="5">
        <v>2</v>
      </c>
      <c r="C12" s="5">
        <v>4</v>
      </c>
      <c r="D12" s="5">
        <v>5</v>
      </c>
      <c r="E12" s="5">
        <v>3</v>
      </c>
      <c r="F12" s="5">
        <v>4</v>
      </c>
      <c r="G12" s="5">
        <v>3</v>
      </c>
      <c r="H12" s="5">
        <v>3</v>
      </c>
      <c r="I12" s="5">
        <v>8</v>
      </c>
      <c r="J12" s="5">
        <v>3</v>
      </c>
      <c r="K12" s="7">
        <v>1</v>
      </c>
      <c r="L12" s="7">
        <v>8</v>
      </c>
      <c r="M12" s="7">
        <v>2</v>
      </c>
    </row>
    <row r="13" spans="1:13" x14ac:dyDescent="0.3">
      <c r="A13" s="5">
        <v>1986</v>
      </c>
      <c r="B13" s="5">
        <v>2</v>
      </c>
      <c r="C13" s="5">
        <v>4</v>
      </c>
      <c r="D13" s="5">
        <v>5</v>
      </c>
      <c r="E13" s="5">
        <v>3</v>
      </c>
      <c r="F13" s="5">
        <v>4</v>
      </c>
      <c r="G13" s="5">
        <v>3</v>
      </c>
      <c r="H13" s="5">
        <v>3</v>
      </c>
      <c r="I13" s="5">
        <v>8</v>
      </c>
      <c r="J13" s="5">
        <v>3</v>
      </c>
      <c r="K13" s="7">
        <v>1</v>
      </c>
      <c r="L13" s="7">
        <v>8</v>
      </c>
      <c r="M13" s="7">
        <v>2</v>
      </c>
    </row>
    <row r="14" spans="1:13" x14ac:dyDescent="0.3">
      <c r="A14" s="5">
        <v>1987</v>
      </c>
      <c r="B14" s="5">
        <v>2</v>
      </c>
      <c r="C14" s="5">
        <v>4</v>
      </c>
      <c r="D14" s="5">
        <v>5</v>
      </c>
      <c r="E14" s="5">
        <v>3</v>
      </c>
      <c r="F14" s="5">
        <v>4</v>
      </c>
      <c r="G14" s="5">
        <v>3</v>
      </c>
      <c r="H14" s="5">
        <v>3</v>
      </c>
      <c r="I14" s="5">
        <v>8</v>
      </c>
      <c r="J14" s="5">
        <v>3</v>
      </c>
      <c r="K14" s="7">
        <v>1</v>
      </c>
      <c r="L14" s="7">
        <v>8</v>
      </c>
      <c r="M14" s="7">
        <v>2</v>
      </c>
    </row>
    <row r="15" spans="1:13" x14ac:dyDescent="0.3">
      <c r="A15" s="5">
        <v>1988</v>
      </c>
      <c r="B15" s="5">
        <v>2</v>
      </c>
      <c r="C15" s="5">
        <v>4</v>
      </c>
      <c r="D15" s="5">
        <v>5</v>
      </c>
      <c r="E15" s="5">
        <v>3</v>
      </c>
      <c r="F15" s="5">
        <v>4</v>
      </c>
      <c r="G15" s="5">
        <v>3</v>
      </c>
      <c r="H15" s="5">
        <v>3</v>
      </c>
      <c r="I15" s="5">
        <v>8</v>
      </c>
      <c r="J15" s="5">
        <v>3</v>
      </c>
      <c r="K15" s="7">
        <v>1</v>
      </c>
      <c r="L15" s="7">
        <v>8</v>
      </c>
      <c r="M15" s="7">
        <v>2</v>
      </c>
    </row>
    <row r="16" spans="1:13" x14ac:dyDescent="0.3">
      <c r="A16" s="5">
        <v>1989</v>
      </c>
      <c r="B16" s="5">
        <v>2</v>
      </c>
      <c r="C16" s="5">
        <v>4</v>
      </c>
      <c r="D16" s="5">
        <v>5</v>
      </c>
      <c r="E16" s="5">
        <v>3</v>
      </c>
      <c r="F16" s="5">
        <v>4</v>
      </c>
      <c r="G16" s="5">
        <v>3</v>
      </c>
      <c r="H16" s="5">
        <v>3</v>
      </c>
      <c r="I16" s="5">
        <v>8</v>
      </c>
      <c r="J16" s="5">
        <v>3</v>
      </c>
      <c r="K16" s="7">
        <v>1</v>
      </c>
      <c r="L16" s="7">
        <v>8</v>
      </c>
      <c r="M16" s="7">
        <v>2</v>
      </c>
    </row>
    <row r="17" spans="1:13" x14ac:dyDescent="0.3">
      <c r="A17" s="5">
        <v>1990</v>
      </c>
      <c r="B17" s="5">
        <v>2</v>
      </c>
      <c r="C17" s="5">
        <v>4</v>
      </c>
      <c r="D17" s="5">
        <v>5</v>
      </c>
      <c r="E17" s="5">
        <v>3</v>
      </c>
      <c r="F17" s="5">
        <v>4</v>
      </c>
      <c r="G17" s="5">
        <v>3</v>
      </c>
      <c r="H17" s="5">
        <v>3</v>
      </c>
      <c r="I17" s="5">
        <v>8</v>
      </c>
      <c r="J17" s="5">
        <v>3</v>
      </c>
      <c r="K17" s="7">
        <v>1</v>
      </c>
      <c r="L17" s="7">
        <v>8</v>
      </c>
      <c r="M17" s="7">
        <v>2</v>
      </c>
    </row>
    <row r="18" spans="1:13" x14ac:dyDescent="0.3">
      <c r="A18" s="5">
        <v>1991</v>
      </c>
      <c r="B18" s="5">
        <v>2</v>
      </c>
      <c r="C18" s="5">
        <v>4</v>
      </c>
      <c r="D18" s="5">
        <v>5</v>
      </c>
      <c r="E18" s="5">
        <v>3</v>
      </c>
      <c r="F18" s="5">
        <v>4</v>
      </c>
      <c r="G18" s="5">
        <v>3</v>
      </c>
      <c r="H18" s="5">
        <v>3</v>
      </c>
      <c r="I18" s="5">
        <v>8</v>
      </c>
      <c r="J18" s="5">
        <v>3</v>
      </c>
      <c r="K18" s="7">
        <v>1</v>
      </c>
      <c r="L18" s="7">
        <v>8</v>
      </c>
      <c r="M18" s="7">
        <v>2</v>
      </c>
    </row>
    <row r="19" spans="1:13" x14ac:dyDescent="0.3">
      <c r="A19" s="5">
        <v>1992</v>
      </c>
      <c r="B19" s="5">
        <v>5</v>
      </c>
      <c r="C19" s="5">
        <v>7</v>
      </c>
      <c r="D19" s="5">
        <v>9</v>
      </c>
      <c r="E19" s="5">
        <v>6</v>
      </c>
      <c r="F19" s="5">
        <v>8</v>
      </c>
      <c r="G19" s="5">
        <v>5</v>
      </c>
      <c r="H19" s="5">
        <v>11</v>
      </c>
      <c r="I19" s="5">
        <v>11</v>
      </c>
      <c r="J19" s="5">
        <v>6</v>
      </c>
      <c r="K19" s="7">
        <v>2</v>
      </c>
      <c r="L19" s="7">
        <v>11</v>
      </c>
      <c r="M19" s="7">
        <v>2</v>
      </c>
    </row>
    <row r="20" spans="1:13" x14ac:dyDescent="0.3">
      <c r="A20" s="5">
        <v>1993</v>
      </c>
      <c r="B20" s="5">
        <v>5</v>
      </c>
      <c r="C20" s="5">
        <v>7</v>
      </c>
      <c r="D20" s="5">
        <v>9</v>
      </c>
      <c r="E20" s="5">
        <v>6</v>
      </c>
      <c r="F20" s="5">
        <v>8</v>
      </c>
      <c r="G20" s="5">
        <v>6</v>
      </c>
      <c r="H20" s="5">
        <v>12</v>
      </c>
      <c r="I20" s="5">
        <v>11</v>
      </c>
      <c r="J20" s="5">
        <v>6</v>
      </c>
      <c r="K20" s="7">
        <v>2</v>
      </c>
      <c r="L20" s="7">
        <v>12</v>
      </c>
      <c r="M20" s="7">
        <v>2</v>
      </c>
    </row>
    <row r="21" spans="1:13" x14ac:dyDescent="0.3">
      <c r="A21" s="5">
        <v>1994</v>
      </c>
      <c r="B21" s="5">
        <v>5</v>
      </c>
      <c r="C21" s="5">
        <v>8</v>
      </c>
      <c r="D21" s="5">
        <v>9</v>
      </c>
      <c r="E21" s="5">
        <v>6</v>
      </c>
      <c r="F21" s="5">
        <v>8</v>
      </c>
      <c r="G21" s="5">
        <v>6</v>
      </c>
      <c r="H21" s="5">
        <v>12</v>
      </c>
      <c r="I21" s="5">
        <v>11</v>
      </c>
      <c r="J21" s="5">
        <v>6</v>
      </c>
      <c r="K21" s="7">
        <v>2</v>
      </c>
      <c r="L21" s="7">
        <v>13</v>
      </c>
      <c r="M21" s="7">
        <v>2</v>
      </c>
    </row>
    <row r="22" spans="1:13" x14ac:dyDescent="0.3">
      <c r="A22" s="5">
        <v>1995</v>
      </c>
      <c r="B22" s="5">
        <v>5</v>
      </c>
      <c r="C22" s="5">
        <v>8</v>
      </c>
      <c r="D22" s="5">
        <v>9</v>
      </c>
      <c r="E22" s="5">
        <v>6</v>
      </c>
      <c r="F22" s="5">
        <v>8</v>
      </c>
      <c r="G22" s="5">
        <v>6</v>
      </c>
      <c r="H22" s="5">
        <v>12</v>
      </c>
      <c r="I22" s="5">
        <v>11</v>
      </c>
      <c r="J22" s="5">
        <v>6</v>
      </c>
      <c r="K22" s="7">
        <v>2</v>
      </c>
      <c r="L22" s="7">
        <v>13</v>
      </c>
      <c r="M22" s="7">
        <v>2</v>
      </c>
    </row>
    <row r="23" spans="1:13" x14ac:dyDescent="0.3">
      <c r="A23" s="5">
        <v>1996</v>
      </c>
      <c r="B23" s="5">
        <v>5</v>
      </c>
      <c r="C23" s="5">
        <v>8</v>
      </c>
      <c r="D23" s="5">
        <v>9</v>
      </c>
      <c r="E23" s="5">
        <v>6</v>
      </c>
      <c r="F23" s="5">
        <v>8</v>
      </c>
      <c r="G23" s="5">
        <v>6</v>
      </c>
      <c r="H23" s="5">
        <v>12</v>
      </c>
      <c r="I23" s="5">
        <v>11</v>
      </c>
      <c r="J23" s="5">
        <v>6</v>
      </c>
      <c r="K23" s="7">
        <v>2</v>
      </c>
      <c r="L23" s="7">
        <v>13</v>
      </c>
      <c r="M23" s="7">
        <v>2</v>
      </c>
    </row>
    <row r="24" spans="1:13" x14ac:dyDescent="0.3">
      <c r="A24" s="5">
        <v>1997</v>
      </c>
      <c r="B24" s="5">
        <v>5</v>
      </c>
      <c r="C24" s="5">
        <v>8</v>
      </c>
      <c r="D24" s="5">
        <v>9</v>
      </c>
      <c r="E24" s="5">
        <v>6</v>
      </c>
      <c r="F24" s="5">
        <v>8</v>
      </c>
      <c r="G24" s="5">
        <v>6</v>
      </c>
      <c r="H24" s="5">
        <v>12</v>
      </c>
      <c r="I24" s="5">
        <v>11</v>
      </c>
      <c r="J24" s="5">
        <v>6</v>
      </c>
      <c r="K24" s="7">
        <v>2</v>
      </c>
      <c r="L24" s="7">
        <v>13</v>
      </c>
      <c r="M24" s="7">
        <v>2</v>
      </c>
    </row>
    <row r="25" spans="1:13" x14ac:dyDescent="0.3">
      <c r="A25" s="5">
        <v>1998</v>
      </c>
      <c r="B25" s="5">
        <v>5</v>
      </c>
      <c r="C25" s="5">
        <v>8</v>
      </c>
      <c r="D25" s="5">
        <v>9</v>
      </c>
      <c r="E25" s="5">
        <v>6</v>
      </c>
      <c r="F25" s="5">
        <v>8</v>
      </c>
      <c r="G25" s="5">
        <v>6</v>
      </c>
      <c r="H25" s="5">
        <v>12</v>
      </c>
      <c r="I25" s="5">
        <v>11</v>
      </c>
      <c r="J25" s="5">
        <v>6</v>
      </c>
      <c r="K25" s="7">
        <v>2</v>
      </c>
      <c r="L25" s="7">
        <v>13</v>
      </c>
      <c r="M25" s="7">
        <v>2</v>
      </c>
    </row>
    <row r="26" spans="1:13" x14ac:dyDescent="0.3">
      <c r="A26" s="5">
        <v>1999</v>
      </c>
      <c r="B26" s="5">
        <v>5</v>
      </c>
      <c r="C26" s="5">
        <v>8</v>
      </c>
      <c r="D26" s="5">
        <v>9</v>
      </c>
      <c r="E26" s="5">
        <v>6</v>
      </c>
      <c r="F26" s="5">
        <v>8</v>
      </c>
      <c r="G26" s="5">
        <v>6</v>
      </c>
      <c r="H26" s="5">
        <v>12</v>
      </c>
      <c r="I26" s="5">
        <v>11</v>
      </c>
      <c r="J26" s="5">
        <v>6</v>
      </c>
      <c r="K26" s="7">
        <v>2</v>
      </c>
      <c r="L26" s="7">
        <v>13</v>
      </c>
      <c r="M26" s="7">
        <v>2</v>
      </c>
    </row>
    <row r="27" spans="1:13" x14ac:dyDescent="0.3">
      <c r="A27" s="5">
        <v>2000</v>
      </c>
      <c r="B27" s="5">
        <v>5</v>
      </c>
      <c r="C27" s="5">
        <v>8</v>
      </c>
      <c r="D27" s="5">
        <v>9</v>
      </c>
      <c r="E27" s="5">
        <v>6</v>
      </c>
      <c r="F27" s="5">
        <v>8</v>
      </c>
      <c r="G27" s="5">
        <v>6</v>
      </c>
      <c r="H27" s="5">
        <v>12</v>
      </c>
      <c r="I27" s="5">
        <v>11</v>
      </c>
      <c r="J27" s="5">
        <v>6</v>
      </c>
      <c r="K27" s="7">
        <v>2</v>
      </c>
      <c r="L27" s="7">
        <v>13</v>
      </c>
      <c r="M27" s="7">
        <v>2</v>
      </c>
    </row>
    <row r="28" spans="1:13" x14ac:dyDescent="0.3">
      <c r="A28" s="5">
        <v>2001</v>
      </c>
      <c r="B28" s="5">
        <v>5</v>
      </c>
      <c r="C28" s="5">
        <v>8</v>
      </c>
      <c r="D28" s="5">
        <v>8</v>
      </c>
      <c r="E28" s="5">
        <v>7</v>
      </c>
      <c r="F28" s="5">
        <v>8</v>
      </c>
      <c r="G28" s="5">
        <v>6</v>
      </c>
      <c r="H28" s="5">
        <v>12</v>
      </c>
      <c r="I28" s="5">
        <v>11</v>
      </c>
      <c r="J28" s="5">
        <v>7</v>
      </c>
      <c r="K28" s="7">
        <v>2</v>
      </c>
      <c r="L28" s="7">
        <v>13</v>
      </c>
      <c r="M28" s="7">
        <v>2</v>
      </c>
    </row>
    <row r="29" spans="1:13" x14ac:dyDescent="0.3">
      <c r="A29" s="5">
        <v>2002</v>
      </c>
      <c r="B29" s="5">
        <v>5</v>
      </c>
      <c r="C29" s="5">
        <v>8</v>
      </c>
      <c r="D29" s="5">
        <v>8</v>
      </c>
      <c r="E29" s="5">
        <v>7</v>
      </c>
      <c r="F29" s="5">
        <v>8</v>
      </c>
      <c r="G29" s="5">
        <v>6</v>
      </c>
      <c r="H29" s="5">
        <v>11</v>
      </c>
      <c r="I29" s="5">
        <v>11</v>
      </c>
      <c r="J29" s="5">
        <v>7</v>
      </c>
      <c r="K29" s="7">
        <v>2</v>
      </c>
      <c r="L29" s="7">
        <v>13</v>
      </c>
      <c r="M29" s="7">
        <v>2</v>
      </c>
    </row>
    <row r="30" spans="1:13" x14ac:dyDescent="0.3">
      <c r="A30" s="5">
        <v>2003</v>
      </c>
      <c r="B30" s="5">
        <v>5</v>
      </c>
      <c r="C30" s="5">
        <v>8</v>
      </c>
      <c r="D30" s="5">
        <v>8</v>
      </c>
      <c r="E30" s="5">
        <v>7</v>
      </c>
      <c r="F30" s="5">
        <v>8</v>
      </c>
      <c r="G30" s="5">
        <v>6</v>
      </c>
      <c r="H30" s="5">
        <v>11</v>
      </c>
      <c r="I30" s="5">
        <v>11</v>
      </c>
      <c r="J30" s="5">
        <v>7</v>
      </c>
      <c r="K30" s="7">
        <v>2</v>
      </c>
      <c r="L30" s="7">
        <v>13</v>
      </c>
      <c r="M30" s="7">
        <v>2</v>
      </c>
    </row>
    <row r="31" spans="1:13" x14ac:dyDescent="0.3">
      <c r="A31" s="5">
        <v>2004</v>
      </c>
      <c r="B31" s="5">
        <v>5</v>
      </c>
      <c r="C31" s="5">
        <v>8</v>
      </c>
      <c r="D31" s="5">
        <v>8</v>
      </c>
      <c r="E31" s="5">
        <v>7</v>
      </c>
      <c r="F31" s="5">
        <v>8</v>
      </c>
      <c r="G31" s="5">
        <v>6</v>
      </c>
      <c r="H31" s="5">
        <v>13</v>
      </c>
      <c r="I31" s="5">
        <v>11</v>
      </c>
      <c r="J31" s="5">
        <v>7</v>
      </c>
      <c r="K31" s="7">
        <v>2</v>
      </c>
      <c r="L31" s="7">
        <v>13</v>
      </c>
      <c r="M31" s="7">
        <v>2</v>
      </c>
    </row>
    <row r="32" spans="1:13" x14ac:dyDescent="0.3">
      <c r="A32" s="5">
        <v>2005</v>
      </c>
      <c r="B32" s="5">
        <v>5</v>
      </c>
      <c r="C32" s="5">
        <v>10</v>
      </c>
      <c r="D32" s="5">
        <v>8</v>
      </c>
      <c r="E32" s="5">
        <v>8</v>
      </c>
      <c r="F32" s="5">
        <v>9</v>
      </c>
      <c r="G32" s="5">
        <v>6</v>
      </c>
      <c r="H32" s="5">
        <v>13</v>
      </c>
      <c r="I32" s="5">
        <v>15</v>
      </c>
      <c r="J32" s="5">
        <v>8</v>
      </c>
      <c r="K32" s="7">
        <v>3</v>
      </c>
      <c r="L32" s="7">
        <v>13</v>
      </c>
      <c r="M32" s="7">
        <v>2</v>
      </c>
    </row>
    <row r="33" spans="1:13" x14ac:dyDescent="0.3">
      <c r="A33" s="5">
        <v>2006</v>
      </c>
      <c r="B33" s="5">
        <v>5</v>
      </c>
      <c r="C33" s="5">
        <v>11</v>
      </c>
      <c r="D33" s="5">
        <v>9</v>
      </c>
      <c r="E33" s="5">
        <v>8</v>
      </c>
      <c r="F33" s="5">
        <v>9</v>
      </c>
      <c r="G33" s="5">
        <v>7</v>
      </c>
      <c r="H33" s="5">
        <v>13</v>
      </c>
      <c r="I33" s="5">
        <v>15</v>
      </c>
      <c r="J33" s="5">
        <v>8</v>
      </c>
      <c r="K33" s="7">
        <v>3</v>
      </c>
      <c r="L33" s="7">
        <v>13</v>
      </c>
      <c r="M33" s="7">
        <v>2</v>
      </c>
    </row>
    <row r="34" spans="1:13" x14ac:dyDescent="0.3">
      <c r="A34" s="5">
        <v>2007</v>
      </c>
      <c r="B34" s="5">
        <v>5</v>
      </c>
      <c r="C34" s="5">
        <v>12</v>
      </c>
      <c r="D34" s="5">
        <v>9</v>
      </c>
      <c r="E34" s="5">
        <v>8</v>
      </c>
      <c r="F34" s="5">
        <v>9</v>
      </c>
      <c r="G34" s="5">
        <v>7</v>
      </c>
      <c r="H34" s="5">
        <v>14</v>
      </c>
      <c r="I34" s="5">
        <v>16</v>
      </c>
      <c r="J34" s="5">
        <v>8</v>
      </c>
      <c r="K34" s="7">
        <v>6</v>
      </c>
      <c r="L34" s="7">
        <v>14</v>
      </c>
      <c r="M34" s="7">
        <v>2</v>
      </c>
    </row>
    <row r="35" spans="1:13" x14ac:dyDescent="0.3">
      <c r="A35" s="5">
        <v>2008</v>
      </c>
      <c r="B35" s="5">
        <v>5</v>
      </c>
      <c r="C35" s="5">
        <v>12</v>
      </c>
      <c r="D35" s="5">
        <v>9</v>
      </c>
      <c r="E35" s="5">
        <v>8</v>
      </c>
      <c r="F35" s="5">
        <v>9</v>
      </c>
      <c r="G35" s="5">
        <v>7</v>
      </c>
      <c r="H35" s="5">
        <v>14</v>
      </c>
      <c r="I35" s="5">
        <v>17</v>
      </c>
      <c r="J35" s="5">
        <v>8</v>
      </c>
      <c r="K35" s="7">
        <v>8</v>
      </c>
      <c r="L35" s="7">
        <v>14</v>
      </c>
      <c r="M35" s="7">
        <v>2</v>
      </c>
    </row>
    <row r="36" spans="1:13" x14ac:dyDescent="0.3">
      <c r="A36" s="5">
        <v>2009</v>
      </c>
      <c r="B36" s="5">
        <v>5</v>
      </c>
      <c r="C36" s="5">
        <v>12</v>
      </c>
      <c r="D36" s="5">
        <v>9</v>
      </c>
      <c r="E36" s="5">
        <v>8</v>
      </c>
      <c r="F36" s="5">
        <v>9</v>
      </c>
      <c r="G36" s="5">
        <v>7</v>
      </c>
      <c r="H36" s="5">
        <v>14</v>
      </c>
      <c r="I36" s="5">
        <v>17</v>
      </c>
      <c r="J36" s="5">
        <v>8</v>
      </c>
      <c r="K36" s="7">
        <v>8</v>
      </c>
      <c r="L36" s="7">
        <v>14</v>
      </c>
      <c r="M36" s="7">
        <v>2</v>
      </c>
    </row>
    <row r="37" spans="1:13" x14ac:dyDescent="0.3">
      <c r="A37" s="5">
        <v>2010</v>
      </c>
      <c r="B37" s="5">
        <v>5</v>
      </c>
      <c r="C37" s="5">
        <v>12</v>
      </c>
      <c r="D37" s="5">
        <v>9</v>
      </c>
      <c r="E37" s="5">
        <v>8</v>
      </c>
      <c r="F37" s="5">
        <v>9</v>
      </c>
      <c r="G37" s="5">
        <v>7</v>
      </c>
      <c r="H37" s="5">
        <v>14</v>
      </c>
      <c r="I37" s="5">
        <v>17</v>
      </c>
      <c r="J37" s="5">
        <v>8</v>
      </c>
      <c r="K37" s="7">
        <v>9</v>
      </c>
      <c r="L37" s="7">
        <v>14</v>
      </c>
      <c r="M37" s="7">
        <v>2</v>
      </c>
    </row>
    <row r="38" spans="1:13" x14ac:dyDescent="0.3">
      <c r="A38" s="5">
        <v>2011</v>
      </c>
      <c r="B38" s="5">
        <v>5</v>
      </c>
      <c r="C38" s="5">
        <v>12</v>
      </c>
      <c r="D38" s="5">
        <v>9</v>
      </c>
      <c r="E38" s="5">
        <v>8</v>
      </c>
      <c r="F38" s="5">
        <v>9</v>
      </c>
      <c r="G38" s="5">
        <v>7</v>
      </c>
      <c r="H38" s="5">
        <v>14</v>
      </c>
      <c r="I38" s="5">
        <v>17</v>
      </c>
      <c r="J38" s="5">
        <v>8</v>
      </c>
      <c r="K38" s="7">
        <v>9</v>
      </c>
      <c r="L38" s="7">
        <v>15</v>
      </c>
      <c r="M38" s="7">
        <v>2</v>
      </c>
    </row>
    <row r="39" spans="1:13" x14ac:dyDescent="0.3">
      <c r="A39" s="5">
        <v>2012</v>
      </c>
      <c r="B39" s="5">
        <v>5</v>
      </c>
      <c r="C39" s="5">
        <v>12</v>
      </c>
      <c r="D39" s="5">
        <v>10</v>
      </c>
      <c r="E39" s="5">
        <v>9</v>
      </c>
      <c r="F39" s="5">
        <v>12</v>
      </c>
      <c r="G39" s="5">
        <v>8</v>
      </c>
      <c r="H39" s="5">
        <v>14</v>
      </c>
      <c r="I39" s="5">
        <v>18</v>
      </c>
      <c r="J39" s="5">
        <v>11</v>
      </c>
      <c r="K39" s="7">
        <v>9</v>
      </c>
      <c r="L39" s="7">
        <v>15</v>
      </c>
      <c r="M39" s="7">
        <v>2</v>
      </c>
    </row>
    <row r="40" spans="1:13" x14ac:dyDescent="0.3">
      <c r="A40" s="5">
        <v>2013</v>
      </c>
      <c r="B40" s="5">
        <v>5</v>
      </c>
      <c r="C40" s="5">
        <v>12</v>
      </c>
      <c r="D40" s="5">
        <v>10</v>
      </c>
      <c r="E40" s="5">
        <v>9</v>
      </c>
      <c r="F40" s="5">
        <v>12</v>
      </c>
      <c r="G40" s="5">
        <v>8</v>
      </c>
      <c r="H40" s="5">
        <v>16</v>
      </c>
      <c r="I40" s="5">
        <v>18</v>
      </c>
      <c r="J40" s="5">
        <v>12</v>
      </c>
      <c r="K40" s="7">
        <v>8</v>
      </c>
      <c r="L40" s="7">
        <v>15</v>
      </c>
      <c r="M40" s="7">
        <v>2</v>
      </c>
    </row>
    <row r="41" spans="1:13" x14ac:dyDescent="0.3">
      <c r="A41" s="5">
        <v>2014</v>
      </c>
      <c r="B41" s="5">
        <v>5</v>
      </c>
      <c r="C41" s="5">
        <v>12</v>
      </c>
      <c r="D41" s="5">
        <v>10</v>
      </c>
      <c r="E41" s="5">
        <v>9</v>
      </c>
      <c r="F41" s="5">
        <v>12</v>
      </c>
      <c r="G41" s="5">
        <v>8</v>
      </c>
      <c r="H41" s="5">
        <v>17</v>
      </c>
      <c r="I41" s="5">
        <v>18</v>
      </c>
      <c r="J41" s="5">
        <v>12</v>
      </c>
      <c r="K41" s="7">
        <v>8</v>
      </c>
      <c r="L41" s="7">
        <v>15</v>
      </c>
      <c r="M41" s="7">
        <v>2</v>
      </c>
    </row>
    <row r="42" spans="1:13" x14ac:dyDescent="0.3">
      <c r="A42" s="5">
        <v>2015</v>
      </c>
      <c r="B42" s="5">
        <v>5</v>
      </c>
      <c r="C42" s="5">
        <v>12</v>
      </c>
      <c r="D42" s="5">
        <v>10</v>
      </c>
      <c r="E42" s="5">
        <v>9</v>
      </c>
      <c r="F42" s="5">
        <v>13</v>
      </c>
      <c r="G42" s="5">
        <v>8</v>
      </c>
      <c r="H42" s="5">
        <v>17</v>
      </c>
      <c r="I42" s="5">
        <v>18</v>
      </c>
      <c r="J42" s="5">
        <v>12</v>
      </c>
      <c r="K42" s="7">
        <v>8</v>
      </c>
      <c r="L42" s="7">
        <v>15</v>
      </c>
      <c r="M42" s="7">
        <v>2</v>
      </c>
    </row>
    <row r="43" spans="1:13" x14ac:dyDescent="0.3">
      <c r="A43" s="5">
        <v>2016</v>
      </c>
      <c r="B43" s="5">
        <v>5</v>
      </c>
      <c r="C43" s="5">
        <v>12</v>
      </c>
      <c r="D43" s="5">
        <v>10</v>
      </c>
      <c r="E43" s="5">
        <v>9</v>
      </c>
      <c r="F43" s="5">
        <v>13</v>
      </c>
      <c r="G43" s="5">
        <v>9</v>
      </c>
      <c r="H43" s="5">
        <v>16</v>
      </c>
      <c r="I43" s="5">
        <v>18</v>
      </c>
      <c r="J43" s="5">
        <v>12</v>
      </c>
      <c r="K43" s="7">
        <v>8</v>
      </c>
      <c r="L43" s="7">
        <v>15</v>
      </c>
      <c r="M43" s="7">
        <v>2</v>
      </c>
    </row>
    <row r="44" spans="1:13" x14ac:dyDescent="0.3">
      <c r="A44" s="5">
        <v>2017</v>
      </c>
      <c r="B44" s="5">
        <v>5</v>
      </c>
      <c r="C44" s="5">
        <v>12</v>
      </c>
      <c r="D44" s="5">
        <v>11</v>
      </c>
      <c r="E44" s="5">
        <v>9</v>
      </c>
      <c r="F44" s="5">
        <v>13</v>
      </c>
      <c r="G44" s="5">
        <v>9</v>
      </c>
      <c r="H44" s="5">
        <v>16</v>
      </c>
      <c r="I44" s="5">
        <v>18</v>
      </c>
      <c r="J44" s="5">
        <v>12</v>
      </c>
      <c r="K44" s="7">
        <v>8</v>
      </c>
      <c r="L44" s="7">
        <v>15</v>
      </c>
      <c r="M44" s="7">
        <v>2</v>
      </c>
    </row>
    <row r="45" spans="1:13" x14ac:dyDescent="0.3">
      <c r="A45" s="5">
        <v>2018</v>
      </c>
      <c r="B45" s="5">
        <v>5</v>
      </c>
      <c r="C45" s="5">
        <v>12</v>
      </c>
      <c r="D45" s="5">
        <v>11</v>
      </c>
      <c r="E45" s="5">
        <v>9</v>
      </c>
      <c r="F45" s="5">
        <v>13</v>
      </c>
      <c r="G45" s="5">
        <v>9</v>
      </c>
      <c r="H45" s="5">
        <v>17</v>
      </c>
      <c r="I45" s="5">
        <v>18</v>
      </c>
      <c r="J45" s="5">
        <v>13</v>
      </c>
      <c r="K45" s="7">
        <v>8</v>
      </c>
      <c r="L45" s="7">
        <v>15</v>
      </c>
      <c r="M45" s="7">
        <v>2</v>
      </c>
    </row>
    <row r="46" spans="1:13" x14ac:dyDescent="0.3">
      <c r="A46" s="5">
        <v>2019</v>
      </c>
      <c r="B46" s="5">
        <v>5</v>
      </c>
      <c r="C46" s="5">
        <v>12</v>
      </c>
      <c r="D46" s="5">
        <v>11</v>
      </c>
      <c r="E46" s="5">
        <v>9</v>
      </c>
      <c r="F46" s="5">
        <v>13</v>
      </c>
      <c r="G46" s="5">
        <v>9</v>
      </c>
      <c r="H46" s="5">
        <v>18</v>
      </c>
      <c r="I46" s="5">
        <v>18</v>
      </c>
      <c r="J46" s="5">
        <v>13</v>
      </c>
      <c r="K46" s="7">
        <v>8</v>
      </c>
      <c r="L46" s="7">
        <v>15</v>
      </c>
      <c r="M46" s="7">
        <v>2</v>
      </c>
    </row>
    <row r="47" spans="1:13" x14ac:dyDescent="0.3">
      <c r="A47" s="5">
        <v>2020</v>
      </c>
      <c r="B47" s="5">
        <v>5</v>
      </c>
      <c r="C47" s="5">
        <v>12</v>
      </c>
      <c r="D47" s="5">
        <v>11</v>
      </c>
      <c r="E47" s="5">
        <v>9</v>
      </c>
      <c r="F47" s="5">
        <v>13</v>
      </c>
      <c r="G47" s="5">
        <v>9</v>
      </c>
      <c r="H47" s="5">
        <v>18</v>
      </c>
      <c r="I47" s="5">
        <v>18</v>
      </c>
      <c r="J47" s="5">
        <v>13</v>
      </c>
      <c r="K47" s="7">
        <v>8</v>
      </c>
      <c r="L47" s="7">
        <v>15</v>
      </c>
      <c r="M47" s="7">
        <v>2</v>
      </c>
    </row>
    <row r="48" spans="1:13" x14ac:dyDescent="0.3">
      <c r="A48" s="5">
        <v>2021</v>
      </c>
      <c r="B48" s="5">
        <v>5</v>
      </c>
      <c r="C48" s="5">
        <v>12</v>
      </c>
      <c r="D48" s="5">
        <v>11</v>
      </c>
      <c r="E48" s="5">
        <v>9</v>
      </c>
      <c r="F48" s="5">
        <v>13</v>
      </c>
      <c r="G48" s="5">
        <v>9</v>
      </c>
      <c r="H48" s="5">
        <v>18</v>
      </c>
      <c r="I48" s="5">
        <v>18</v>
      </c>
      <c r="J48" s="5">
        <v>13</v>
      </c>
      <c r="K48" s="7">
        <v>8</v>
      </c>
      <c r="L48" s="7">
        <v>15</v>
      </c>
      <c r="M48" s="7">
        <v>2</v>
      </c>
    </row>
    <row r="49" spans="1:13" x14ac:dyDescent="0.3">
      <c r="A49" s="5">
        <v>2022</v>
      </c>
      <c r="B49" s="5">
        <v>5</v>
      </c>
      <c r="C49" s="5">
        <v>12</v>
      </c>
      <c r="D49" s="5">
        <v>11</v>
      </c>
      <c r="E49" s="5">
        <v>9</v>
      </c>
      <c r="F49" s="5">
        <v>13</v>
      </c>
      <c r="G49" s="5">
        <v>9</v>
      </c>
      <c r="H49" s="5">
        <v>21</v>
      </c>
      <c r="I49" s="5">
        <v>20</v>
      </c>
      <c r="J49" s="5">
        <v>14</v>
      </c>
      <c r="K49" s="7">
        <v>8</v>
      </c>
      <c r="L49" s="7">
        <v>15</v>
      </c>
      <c r="M49" s="7">
        <v>2</v>
      </c>
    </row>
    <row r="50" spans="1:13" x14ac:dyDescent="0.3">
      <c r="A50" s="5">
        <v>2023</v>
      </c>
      <c r="B50" s="5">
        <v>5</v>
      </c>
      <c r="C50" s="5">
        <v>12</v>
      </c>
      <c r="D50" s="5">
        <v>11</v>
      </c>
      <c r="E50" s="5">
        <v>9</v>
      </c>
      <c r="F50" s="5">
        <v>13</v>
      </c>
      <c r="G50" s="5">
        <v>9</v>
      </c>
      <c r="H50" s="5">
        <v>28</v>
      </c>
      <c r="I50" s="5">
        <v>20</v>
      </c>
      <c r="J50" s="5">
        <v>14</v>
      </c>
      <c r="K50" s="7">
        <v>8</v>
      </c>
      <c r="L50" s="7">
        <v>15</v>
      </c>
      <c r="M50" s="7">
        <v>2</v>
      </c>
    </row>
    <row r="51" spans="1:13" x14ac:dyDescent="0.3">
      <c r="A51" s="5">
        <v>2024</v>
      </c>
      <c r="B51" s="5">
        <v>5</v>
      </c>
      <c r="C51" s="5">
        <v>12</v>
      </c>
      <c r="D51" s="5">
        <v>11</v>
      </c>
      <c r="E51" s="5">
        <v>9</v>
      </c>
      <c r="F51" s="5">
        <v>13</v>
      </c>
      <c r="G51" s="5">
        <v>9</v>
      </c>
      <c r="H51" s="5">
        <v>28</v>
      </c>
      <c r="I51" s="5">
        <v>20</v>
      </c>
      <c r="J51" s="5">
        <v>15</v>
      </c>
      <c r="K51" s="7">
        <v>8</v>
      </c>
      <c r="L51" s="7">
        <v>15</v>
      </c>
      <c r="M51" s="7">
        <v>2</v>
      </c>
    </row>
    <row r="52" spans="1:13" x14ac:dyDescent="0.3">
      <c r="A52" s="5">
        <v>2025</v>
      </c>
      <c r="B52" s="5">
        <v>5</v>
      </c>
      <c r="C52" s="5">
        <v>12</v>
      </c>
      <c r="D52" s="5">
        <v>11</v>
      </c>
      <c r="E52" s="5">
        <v>9</v>
      </c>
      <c r="F52" s="5">
        <v>13</v>
      </c>
      <c r="G52" s="5">
        <v>9</v>
      </c>
      <c r="H52" s="5">
        <v>28</v>
      </c>
      <c r="I52" s="5">
        <v>20</v>
      </c>
      <c r="J52" s="5">
        <v>15</v>
      </c>
      <c r="K52" s="7">
        <v>8</v>
      </c>
      <c r="L52" s="7">
        <v>15</v>
      </c>
      <c r="M52" s="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DF94-41D9-4A18-9488-E1A13C4929E2}">
  <dimension ref="A1:K52"/>
  <sheetViews>
    <sheetView workbookViewId="0">
      <selection activeCell="A53" sqref="A53"/>
    </sheetView>
  </sheetViews>
  <sheetFormatPr defaultRowHeight="14.4" x14ac:dyDescent="0.3"/>
  <cols>
    <col min="2" max="3" width="11.5546875" bestFit="1" customWidth="1"/>
    <col min="4" max="4" width="11.21875" customWidth="1"/>
    <col min="5" max="5" width="10.88671875" customWidth="1"/>
    <col min="6" max="6" width="13" customWidth="1"/>
    <col min="7" max="10" width="11.5546875" bestFit="1" customWidth="1"/>
    <col min="11" max="11" width="12" bestFit="1" customWidth="1"/>
  </cols>
  <sheetData>
    <row r="1" spans="1:11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1" x14ac:dyDescent="0.3">
      <c r="A2">
        <v>1975</v>
      </c>
      <c r="B2" s="4">
        <f t="shared" ref="B2:B6" si="0">AVERAGE(B3:B7)</f>
        <v>2622118.8801279999</v>
      </c>
      <c r="C2" s="4">
        <f t="shared" ref="C2:C6" si="1">AVERAGE(C3:C7)</f>
        <v>6899633.5175679997</v>
      </c>
      <c r="D2" s="4">
        <f t="shared" ref="D2:D6" si="2">AVERAGE(D3:D7)</f>
        <v>4906197.7786880005</v>
      </c>
      <c r="E2" s="4">
        <f t="shared" ref="E2:E6" si="3">AVERAGE(E3:E7)</f>
        <v>3857286.6853760006</v>
      </c>
      <c r="F2" s="4">
        <f t="shared" ref="F2:F6" si="4">AVERAGE(F3:F7)</f>
        <v>5179813.3682559999</v>
      </c>
      <c r="G2" s="4">
        <f t="shared" ref="G2:G6" si="5">AVERAGE(G3:G7)</f>
        <v>4889267.3162240004</v>
      </c>
      <c r="H2" s="4">
        <f t="shared" ref="H2:H6" si="6">AVERAGE(H3:H7)</f>
        <v>6761130.3383040009</v>
      </c>
      <c r="I2" s="4">
        <f t="shared" ref="I2:I6" si="7">AVERAGE(I3:I7)</f>
        <v>7295459.8259839993</v>
      </c>
      <c r="J2" s="4">
        <f t="shared" ref="J2:J6" si="8">AVERAGE(J3:J7)</f>
        <v>4418880.1919999998</v>
      </c>
      <c r="K2">
        <f>SUM(unicount!$B2:$J2)/SUM(pop!$B2:$J2)*100000</f>
        <v>7.2603361071734832E-2</v>
      </c>
    </row>
    <row r="3" spans="1:11" x14ac:dyDescent="0.3">
      <c r="A3">
        <v>1976</v>
      </c>
      <c r="B3" s="4">
        <f t="shared" si="0"/>
        <v>2624464.7334400001</v>
      </c>
      <c r="C3" s="4">
        <f t="shared" si="1"/>
        <v>6906415.2646400006</v>
      </c>
      <c r="D3" s="4">
        <f t="shared" si="2"/>
        <v>4908253.4822400007</v>
      </c>
      <c r="E3" s="4">
        <f t="shared" si="3"/>
        <v>3856519.40448</v>
      </c>
      <c r="F3" s="4">
        <f t="shared" si="4"/>
        <v>5180951.30688</v>
      </c>
      <c r="G3" s="4">
        <f t="shared" si="5"/>
        <v>4883554.7635200005</v>
      </c>
      <c r="H3" s="4">
        <f t="shared" si="6"/>
        <v>6761789.2819200009</v>
      </c>
      <c r="I3" s="4">
        <f t="shared" si="7"/>
        <v>7286725.6883199988</v>
      </c>
      <c r="J3" s="4">
        <f t="shared" si="8"/>
        <v>4412964.16</v>
      </c>
      <c r="K3">
        <f>SUM(unicount!$B3:$J3)/SUM(pop!$B3:$J3)*100000</f>
        <v>7.261599847907263E-2</v>
      </c>
    </row>
    <row r="4" spans="1:11" x14ac:dyDescent="0.3">
      <c r="A4">
        <v>1977</v>
      </c>
      <c r="B4" s="4">
        <f t="shared" si="0"/>
        <v>2624428.6112000002</v>
      </c>
      <c r="C4" s="4">
        <f t="shared" si="1"/>
        <v>6906567.3872000007</v>
      </c>
      <c r="D4" s="4">
        <f t="shared" si="2"/>
        <v>4908039.2352</v>
      </c>
      <c r="E4" s="4">
        <f t="shared" si="3"/>
        <v>3855331.6703999997</v>
      </c>
      <c r="F4" s="4">
        <f t="shared" si="4"/>
        <v>5180617.4223999996</v>
      </c>
      <c r="G4" s="4">
        <f t="shared" si="5"/>
        <v>4881748.9696000004</v>
      </c>
      <c r="H4" s="4">
        <f t="shared" si="6"/>
        <v>6762338.4016000004</v>
      </c>
      <c r="I4" s="4">
        <f t="shared" si="7"/>
        <v>7284477.0735999998</v>
      </c>
      <c r="J4" s="4">
        <f t="shared" si="8"/>
        <v>4410705.8</v>
      </c>
      <c r="K4">
        <f>SUM(unicount!$B4:$J4)/SUM(pop!$B4:$J4)*100000</f>
        <v>7.2627451427832196E-2</v>
      </c>
    </row>
    <row r="5" spans="1:11" x14ac:dyDescent="0.3">
      <c r="A5">
        <v>1978</v>
      </c>
      <c r="B5" s="4">
        <f t="shared" si="0"/>
        <v>2623166.176</v>
      </c>
      <c r="C5" s="4">
        <f t="shared" si="1"/>
        <v>6902296.6560000004</v>
      </c>
      <c r="D5" s="4">
        <f t="shared" si="2"/>
        <v>4907115.6960000005</v>
      </c>
      <c r="E5" s="4">
        <f t="shared" si="3"/>
        <v>3855223.392</v>
      </c>
      <c r="F5" s="4">
        <f t="shared" si="4"/>
        <v>5179626.352</v>
      </c>
      <c r="G5" s="4">
        <f t="shared" si="5"/>
        <v>4885052.8080000002</v>
      </c>
      <c r="H5" s="4">
        <f t="shared" si="6"/>
        <v>6760780.1680000005</v>
      </c>
      <c r="I5" s="4">
        <f t="shared" si="7"/>
        <v>7287561.7280000001</v>
      </c>
      <c r="J5" s="4">
        <f t="shared" si="8"/>
        <v>4413338</v>
      </c>
      <c r="K5">
        <f>SUM(unicount!$B5:$J5)/SUM(pop!$B5:$J5)*100000</f>
        <v>7.2627596631349711E-2</v>
      </c>
    </row>
    <row r="6" spans="1:11" x14ac:dyDescent="0.3">
      <c r="A6">
        <v>1979</v>
      </c>
      <c r="B6" s="4">
        <f t="shared" si="0"/>
        <v>2620865.48</v>
      </c>
      <c r="C6" s="4">
        <f t="shared" si="1"/>
        <v>6895402.8799999999</v>
      </c>
      <c r="D6" s="4">
        <f t="shared" si="2"/>
        <v>4905072.08</v>
      </c>
      <c r="E6" s="4">
        <f t="shared" si="3"/>
        <v>3857150.16</v>
      </c>
      <c r="F6" s="4">
        <f t="shared" si="4"/>
        <v>5178699.96</v>
      </c>
      <c r="G6" s="4">
        <f t="shared" si="5"/>
        <v>4892009.84</v>
      </c>
      <c r="H6" s="4">
        <f t="shared" si="6"/>
        <v>6759769.6400000006</v>
      </c>
      <c r="I6" s="4">
        <f t="shared" si="7"/>
        <v>7299770.4400000004</v>
      </c>
      <c r="J6" s="4">
        <f t="shared" si="8"/>
        <v>4421801</v>
      </c>
      <c r="K6">
        <f>SUM(unicount!$B6:$J6)/SUM(pop!$B6:$J6)*100000</f>
        <v>7.2602192768837476E-2</v>
      </c>
    </row>
    <row r="7" spans="1:11" x14ac:dyDescent="0.3">
      <c r="A7">
        <v>1980</v>
      </c>
      <c r="B7" s="4">
        <f>AVERAGE(B8:B12)</f>
        <v>2617669.4</v>
      </c>
      <c r="C7" s="4">
        <f t="shared" ref="C7:J7" si="9">AVERAGE(C8:C12)</f>
        <v>6887485.4000000004</v>
      </c>
      <c r="D7" s="4">
        <f t="shared" si="9"/>
        <v>4902508.4000000004</v>
      </c>
      <c r="E7" s="4">
        <f t="shared" si="9"/>
        <v>3862208.8</v>
      </c>
      <c r="F7" s="4">
        <f>AVERAGE(F8:F12)</f>
        <v>5179171.8</v>
      </c>
      <c r="G7" s="4">
        <f>AVERAGE(G8:G12)</f>
        <v>4903970.2</v>
      </c>
      <c r="H7" s="4">
        <f>AVERAGE(H8:H12)</f>
        <v>6760974.2000000002</v>
      </c>
      <c r="I7" s="4">
        <f>AVERAGE(I8:I12)</f>
        <v>7318764.2000000002</v>
      </c>
      <c r="J7" s="4">
        <f t="shared" si="9"/>
        <v>4435592</v>
      </c>
      <c r="K7">
        <f>SUM(unicount!$B7:$J7)/SUM(pop!$B7:$J7)*100000</f>
        <v>7.2543633523355258E-2</v>
      </c>
    </row>
    <row r="8" spans="1:11" x14ac:dyDescent="0.3">
      <c r="A8">
        <v>1981</v>
      </c>
      <c r="B8">
        <v>2636194</v>
      </c>
      <c r="C8">
        <v>6940324</v>
      </c>
      <c r="D8">
        <v>4918532</v>
      </c>
      <c r="E8">
        <v>3852683</v>
      </c>
      <c r="F8">
        <v>5186641</v>
      </c>
      <c r="G8">
        <v>4854992</v>
      </c>
      <c r="H8">
        <v>6765084</v>
      </c>
      <c r="I8">
        <v>7243055</v>
      </c>
      <c r="J8">
        <v>4383384</v>
      </c>
      <c r="K8">
        <f>SUM(unicount!$B8:$J8)/SUM(pop!$B8:$J8)*100000</f>
        <v>7.2679251563603248E-2</v>
      </c>
    </row>
    <row r="9" spans="1:11" x14ac:dyDescent="0.3">
      <c r="A9">
        <v>1982</v>
      </c>
      <c r="B9">
        <v>2624248</v>
      </c>
      <c r="C9">
        <v>6907328</v>
      </c>
      <c r="D9">
        <v>4906968</v>
      </c>
      <c r="E9">
        <v>3849393</v>
      </c>
      <c r="F9">
        <v>5178948</v>
      </c>
      <c r="G9">
        <v>4872720</v>
      </c>
      <c r="H9">
        <v>6765084</v>
      </c>
      <c r="I9">
        <v>7273234</v>
      </c>
      <c r="J9">
        <v>4399414</v>
      </c>
      <c r="K9">
        <f>SUM(unicount!$B9:$J9)/SUM(pop!$B9:$J9)*100000</f>
        <v>7.2684770404950583E-2</v>
      </c>
    </row>
    <row r="10" spans="1:11" x14ac:dyDescent="0.3">
      <c r="A10">
        <v>1983</v>
      </c>
      <c r="B10">
        <v>2616854</v>
      </c>
      <c r="C10">
        <v>6880943</v>
      </c>
      <c r="D10">
        <v>4902498</v>
      </c>
      <c r="E10">
        <v>3854682</v>
      </c>
      <c r="F10">
        <v>5174671</v>
      </c>
      <c r="G10">
        <v>4901572</v>
      </c>
      <c r="H10">
        <v>6752989</v>
      </c>
      <c r="I10">
        <v>7302985</v>
      </c>
      <c r="J10">
        <v>4426499</v>
      </c>
      <c r="K10">
        <f>SUM(unicount!$B10:$J10)/SUM(pop!$B10:$J10)*100000</f>
        <v>7.4764449794635937E-2</v>
      </c>
    </row>
    <row r="11" spans="1:11" x14ac:dyDescent="0.3">
      <c r="A11">
        <v>1984</v>
      </c>
      <c r="B11">
        <v>2609362</v>
      </c>
      <c r="C11">
        <v>6860934</v>
      </c>
      <c r="D11">
        <v>4894854</v>
      </c>
      <c r="E11">
        <v>3866784</v>
      </c>
      <c r="F11">
        <v>5174068</v>
      </c>
      <c r="G11">
        <v>4926795</v>
      </c>
      <c r="H11">
        <v>6754717</v>
      </c>
      <c r="I11">
        <v>7360814</v>
      </c>
      <c r="J11">
        <v>4464116</v>
      </c>
      <c r="K11">
        <f>SUM(unicount!$B11:$J11)/SUM(pop!$B11:$J11)*100000</f>
        <v>7.4607070141133561E-2</v>
      </c>
    </row>
    <row r="12" spans="1:11" x14ac:dyDescent="0.3">
      <c r="A12">
        <v>1985</v>
      </c>
      <c r="B12">
        <v>2601689</v>
      </c>
      <c r="C12">
        <v>6847898</v>
      </c>
      <c r="D12">
        <v>4889690</v>
      </c>
      <c r="E12">
        <v>3887502</v>
      </c>
      <c r="F12">
        <v>5181531</v>
      </c>
      <c r="G12">
        <v>4963772</v>
      </c>
      <c r="H12">
        <v>6766997</v>
      </c>
      <c r="I12">
        <v>7413733</v>
      </c>
      <c r="J12">
        <v>4504547</v>
      </c>
      <c r="K12">
        <f>SUM(unicount!$B12:$J12)/SUM(pop!$B12:$J12)*100000</f>
        <v>7.4377314715005582E-2</v>
      </c>
    </row>
    <row r="13" spans="1:11" x14ac:dyDescent="0.3">
      <c r="A13">
        <v>1986</v>
      </c>
      <c r="B13">
        <v>2594213</v>
      </c>
      <c r="C13">
        <v>6832680</v>
      </c>
      <c r="D13">
        <v>4883634</v>
      </c>
      <c r="E13">
        <v>3907811</v>
      </c>
      <c r="F13">
        <v>5179950</v>
      </c>
      <c r="G13">
        <v>4999268</v>
      </c>
      <c r="H13">
        <v>6774202</v>
      </c>
      <c r="I13">
        <v>7468272</v>
      </c>
      <c r="J13">
        <v>4547613</v>
      </c>
      <c r="K13">
        <f>SUM(unicount!$B13:$J13)/SUM(pop!$B13:$J13)*100000</f>
        <v>7.4171960655038449E-2</v>
      </c>
    </row>
    <row r="14" spans="1:11" x14ac:dyDescent="0.3">
      <c r="A14">
        <v>1987</v>
      </c>
      <c r="B14">
        <v>2589779</v>
      </c>
      <c r="C14">
        <v>6820667</v>
      </c>
      <c r="D14">
        <v>4879150</v>
      </c>
      <c r="E14">
        <v>3925293</v>
      </c>
      <c r="F14">
        <v>5194570</v>
      </c>
      <c r="G14">
        <v>5030759</v>
      </c>
      <c r="H14">
        <v>6765557</v>
      </c>
      <c r="I14">
        <v>7505040</v>
      </c>
      <c r="J14">
        <v>4589604</v>
      </c>
      <c r="K14">
        <f>SUM(unicount!$B14:$J14)/SUM(pop!$B14:$J14)*100000</f>
        <v>7.3995116195482324E-2</v>
      </c>
    </row>
    <row r="15" spans="1:11" x14ac:dyDescent="0.3">
      <c r="A15">
        <v>1988</v>
      </c>
      <c r="B15">
        <v>2582285</v>
      </c>
      <c r="C15">
        <v>6811642</v>
      </c>
      <c r="D15">
        <v>4888711</v>
      </c>
      <c r="E15">
        <v>3950708</v>
      </c>
      <c r="F15">
        <v>5204005</v>
      </c>
      <c r="G15">
        <v>5059695</v>
      </c>
      <c r="H15">
        <v>6729336</v>
      </c>
      <c r="I15">
        <v>7550554</v>
      </c>
      <c r="J15">
        <v>4635406</v>
      </c>
      <c r="K15">
        <f>SUM(unicount!$B15:$J15)/SUM(pop!$B15:$J15)*100000</f>
        <v>7.3820441099492609E-2</v>
      </c>
    </row>
    <row r="16" spans="1:11" x14ac:dyDescent="0.3">
      <c r="A16">
        <v>1989</v>
      </c>
      <c r="B16">
        <v>2582114</v>
      </c>
      <c r="C16">
        <v>6824728</v>
      </c>
      <c r="D16">
        <v>4912364</v>
      </c>
      <c r="E16">
        <v>3976079</v>
      </c>
      <c r="F16">
        <v>5213605</v>
      </c>
      <c r="G16">
        <v>5070133</v>
      </c>
      <c r="H16">
        <v>6751562</v>
      </c>
      <c r="I16">
        <v>7568528</v>
      </c>
      <c r="J16">
        <v>4653538</v>
      </c>
      <c r="K16">
        <f>SUM(unicount!$B16:$J16)/SUM(pop!$B16:$J16)*100000</f>
        <v>7.3602626276293201E-2</v>
      </c>
    </row>
    <row r="17" spans="1:11" x14ac:dyDescent="0.3">
      <c r="A17">
        <v>1990</v>
      </c>
      <c r="B17">
        <v>2584320</v>
      </c>
      <c r="C17">
        <v>6829393</v>
      </c>
      <c r="D17">
        <v>4921028</v>
      </c>
      <c r="E17">
        <v>3992976</v>
      </c>
      <c r="F17">
        <v>5218405</v>
      </c>
      <c r="G17">
        <v>5087962</v>
      </c>
      <c r="H17">
        <v>6798786</v>
      </c>
      <c r="I17">
        <v>7598057</v>
      </c>
      <c r="J17">
        <v>4668189</v>
      </c>
      <c r="K17">
        <f>SUM(unicount!$B17:$J17)/SUM(pop!$B17:$J17)*100000</f>
        <v>7.3376621906368247E-2</v>
      </c>
    </row>
    <row r="18" spans="1:11" x14ac:dyDescent="0.3">
      <c r="A18">
        <v>1991</v>
      </c>
      <c r="B18">
        <v>2586986</v>
      </c>
      <c r="C18">
        <v>6843039</v>
      </c>
      <c r="D18">
        <v>4936100</v>
      </c>
      <c r="E18">
        <v>4011411</v>
      </c>
      <c r="F18">
        <v>5229699</v>
      </c>
      <c r="G18">
        <v>5121052</v>
      </c>
      <c r="H18">
        <v>6829314</v>
      </c>
      <c r="I18">
        <v>7629186</v>
      </c>
      <c r="J18">
        <v>4688248</v>
      </c>
      <c r="K18">
        <f>SUM(unicount!$B18:$J18)/SUM(pop!$B18:$J18)*100000</f>
        <v>7.3106996161987139E-2</v>
      </c>
    </row>
    <row r="19" spans="1:11" x14ac:dyDescent="0.3">
      <c r="A19">
        <v>1992</v>
      </c>
      <c r="B19">
        <v>2591333</v>
      </c>
      <c r="C19">
        <v>6841029</v>
      </c>
      <c r="D19">
        <v>4949033</v>
      </c>
      <c r="E19">
        <v>4036691</v>
      </c>
      <c r="F19">
        <v>5237375</v>
      </c>
      <c r="G19">
        <v>5142589</v>
      </c>
      <c r="H19">
        <v>6829408</v>
      </c>
      <c r="I19">
        <v>7656594</v>
      </c>
      <c r="J19">
        <v>4713921</v>
      </c>
      <c r="K19">
        <f>SUM(unicount!$B19:$J19)/SUM(pop!$B19:$J19)*100000</f>
        <v>0.14167264938458965</v>
      </c>
    </row>
    <row r="20" spans="1:11" x14ac:dyDescent="0.3">
      <c r="A20">
        <v>1993</v>
      </c>
      <c r="B20">
        <v>2593948</v>
      </c>
      <c r="C20">
        <v>6846740</v>
      </c>
      <c r="D20">
        <v>4954142</v>
      </c>
      <c r="E20">
        <v>4055893</v>
      </c>
      <c r="F20">
        <v>5245930</v>
      </c>
      <c r="G20">
        <v>5154369</v>
      </c>
      <c r="H20">
        <v>6844491</v>
      </c>
      <c r="I20">
        <v>7673172</v>
      </c>
      <c r="J20">
        <v>4733634</v>
      </c>
      <c r="K20">
        <f>SUM(unicount!$B20:$J20)/SUM(pop!$B20:$J20)*100000</f>
        <v>0.14552312956055194</v>
      </c>
    </row>
    <row r="21" spans="1:11" x14ac:dyDescent="0.3">
      <c r="A21">
        <v>1994</v>
      </c>
      <c r="B21">
        <v>2588661</v>
      </c>
      <c r="C21">
        <v>6838904</v>
      </c>
      <c r="D21">
        <v>4960087</v>
      </c>
      <c r="E21">
        <v>4071720</v>
      </c>
      <c r="F21">
        <v>5249295</v>
      </c>
      <c r="G21">
        <v>5177915</v>
      </c>
      <c r="H21">
        <v>6873527</v>
      </c>
      <c r="I21">
        <v>7711594</v>
      </c>
      <c r="J21">
        <v>4757078</v>
      </c>
      <c r="K21">
        <f>SUM(unicount!$B21:$J21)/SUM(pop!$B21:$J21)*100000</f>
        <v>0.14721500010543498</v>
      </c>
    </row>
    <row r="22" spans="1:11" x14ac:dyDescent="0.3">
      <c r="A22">
        <v>1995</v>
      </c>
      <c r="B22">
        <v>2582715</v>
      </c>
      <c r="C22">
        <v>6827940</v>
      </c>
      <c r="D22">
        <v>4960575</v>
      </c>
      <c r="E22">
        <v>4091663</v>
      </c>
      <c r="F22">
        <v>5256911</v>
      </c>
      <c r="G22">
        <v>5205700</v>
      </c>
      <c r="H22">
        <v>6913123</v>
      </c>
      <c r="I22">
        <v>7762978</v>
      </c>
      <c r="J22">
        <v>4781856</v>
      </c>
      <c r="K22">
        <f>SUM(unicount!$B22:$J22)/SUM(pop!$B22:$J22)*100000</f>
        <v>0.14674435960668461</v>
      </c>
    </row>
    <row r="23" spans="1:11" x14ac:dyDescent="0.3">
      <c r="A23">
        <v>1996</v>
      </c>
      <c r="B23">
        <v>2576450</v>
      </c>
      <c r="C23">
        <v>6809646</v>
      </c>
      <c r="D23">
        <v>4961254</v>
      </c>
      <c r="E23">
        <v>4108070</v>
      </c>
      <c r="F23">
        <v>5263046</v>
      </c>
      <c r="G23">
        <v>5232760</v>
      </c>
      <c r="H23">
        <v>6974407</v>
      </c>
      <c r="I23">
        <v>7800406</v>
      </c>
      <c r="J23">
        <v>4793090</v>
      </c>
      <c r="K23">
        <f>SUM(unicount!$B23:$J23)/SUM(pop!$B23:$J23)*100000</f>
        <v>0.14633403662295752</v>
      </c>
    </row>
    <row r="24" spans="1:11" x14ac:dyDescent="0.3">
      <c r="A24">
        <v>1997</v>
      </c>
      <c r="B24">
        <v>2568066</v>
      </c>
      <c r="C24">
        <v>6794378</v>
      </c>
      <c r="D24">
        <v>4957561</v>
      </c>
      <c r="E24">
        <v>4120320</v>
      </c>
      <c r="F24">
        <v>5262278</v>
      </c>
      <c r="G24">
        <v>5266915</v>
      </c>
      <c r="H24">
        <v>7014838</v>
      </c>
      <c r="I24">
        <v>7853102</v>
      </c>
      <c r="J24">
        <v>4827319</v>
      </c>
      <c r="K24">
        <f>SUM(unicount!$B24:$J24)/SUM(pop!$B24:$J24)*100000</f>
        <v>0.14589607592366036</v>
      </c>
    </row>
    <row r="25" spans="1:11" x14ac:dyDescent="0.3">
      <c r="A25">
        <v>1998</v>
      </c>
      <c r="B25">
        <v>2560883</v>
      </c>
      <c r="C25">
        <v>6792173</v>
      </c>
      <c r="D25">
        <v>4957703</v>
      </c>
      <c r="E25">
        <v>4132645</v>
      </c>
      <c r="F25">
        <v>5271352</v>
      </c>
      <c r="G25">
        <v>5302028</v>
      </c>
      <c r="H25">
        <v>7065497</v>
      </c>
      <c r="I25">
        <v>7888838</v>
      </c>
      <c r="J25">
        <v>4849464</v>
      </c>
      <c r="K25">
        <f>SUM(unicount!$B25:$J25)/SUM(pop!$B25:$J25)*100000</f>
        <v>0.14543046321261668</v>
      </c>
    </row>
    <row r="26" spans="1:11" x14ac:dyDescent="0.3">
      <c r="A26">
        <v>1999</v>
      </c>
      <c r="B26">
        <v>2550314</v>
      </c>
      <c r="C26">
        <v>6773115</v>
      </c>
      <c r="D26">
        <v>4956325</v>
      </c>
      <c r="E26">
        <v>4152443</v>
      </c>
      <c r="F26">
        <v>5271959</v>
      </c>
      <c r="G26">
        <v>5338722</v>
      </c>
      <c r="H26">
        <v>7153912</v>
      </c>
      <c r="I26">
        <v>7955124</v>
      </c>
      <c r="J26">
        <v>4880958</v>
      </c>
      <c r="K26">
        <f>SUM(unicount!$B26:$J26)/SUM(pop!$B26:$J26)*100000</f>
        <v>0.14480081852027757</v>
      </c>
    </row>
    <row r="27" spans="1:11" x14ac:dyDescent="0.3">
      <c r="A27">
        <v>2000</v>
      </c>
      <c r="B27">
        <v>2543421</v>
      </c>
      <c r="C27">
        <v>6774223</v>
      </c>
      <c r="D27">
        <v>4958609</v>
      </c>
      <c r="E27">
        <v>4168076</v>
      </c>
      <c r="F27">
        <v>5269626</v>
      </c>
      <c r="G27">
        <v>5374972</v>
      </c>
      <c r="H27">
        <v>7236712</v>
      </c>
      <c r="I27">
        <v>7990598</v>
      </c>
      <c r="J27">
        <v>4917074</v>
      </c>
      <c r="K27">
        <f>SUM(unicount!$B27:$J27)/SUM(pop!$B27:$J27)*100000</f>
        <v>0.14421130441541907</v>
      </c>
    </row>
    <row r="28" spans="1:11" x14ac:dyDescent="0.3">
      <c r="A28">
        <v>2001</v>
      </c>
      <c r="B28">
        <v>2540090</v>
      </c>
      <c r="C28">
        <v>6772985</v>
      </c>
      <c r="D28">
        <v>4976643</v>
      </c>
      <c r="E28">
        <v>4189622</v>
      </c>
      <c r="F28">
        <v>5280727</v>
      </c>
      <c r="G28">
        <v>5400463</v>
      </c>
      <c r="H28">
        <v>7322403</v>
      </c>
      <c r="I28">
        <v>8023449</v>
      </c>
      <c r="J28">
        <v>4943364</v>
      </c>
      <c r="K28">
        <f>SUM(unicount!$B28:$J28)/SUM(pop!$B28:$J28)*100000</f>
        <v>0.14560236568252544</v>
      </c>
    </row>
    <row r="29" spans="1:11" x14ac:dyDescent="0.3">
      <c r="A29">
        <v>2002</v>
      </c>
      <c r="B29">
        <v>2540600</v>
      </c>
      <c r="C29">
        <v>6784880</v>
      </c>
      <c r="D29">
        <v>5000111</v>
      </c>
      <c r="E29">
        <v>4221753</v>
      </c>
      <c r="F29">
        <v>5301243</v>
      </c>
      <c r="G29">
        <v>5432688</v>
      </c>
      <c r="H29">
        <v>7376671</v>
      </c>
      <c r="I29">
        <v>8045192</v>
      </c>
      <c r="J29">
        <v>4976129</v>
      </c>
      <c r="K29">
        <f>SUM(unicount!$B29:$J29)/SUM(pop!$B29:$J29)*100000</f>
        <v>0.1429167624393492</v>
      </c>
    </row>
    <row r="30" spans="1:11" x14ac:dyDescent="0.3">
      <c r="A30">
        <v>2003</v>
      </c>
      <c r="B30">
        <v>2540461</v>
      </c>
      <c r="C30">
        <v>6814660</v>
      </c>
      <c r="D30">
        <v>5026314</v>
      </c>
      <c r="E30">
        <v>4255080</v>
      </c>
      <c r="F30">
        <v>5325475</v>
      </c>
      <c r="G30">
        <v>5474133</v>
      </c>
      <c r="H30">
        <v>7394817</v>
      </c>
      <c r="I30">
        <v>8087924</v>
      </c>
      <c r="J30">
        <v>5006653</v>
      </c>
      <c r="K30">
        <f>SUM(unicount!$B30:$J30)/SUM(pop!$B30:$J30)*100000</f>
        <v>0.14221184730044958</v>
      </c>
    </row>
    <row r="31" spans="1:11" x14ac:dyDescent="0.3">
      <c r="A31">
        <v>2004</v>
      </c>
      <c r="B31">
        <v>2540502</v>
      </c>
      <c r="C31">
        <v>6840369</v>
      </c>
      <c r="D31">
        <v>5063199</v>
      </c>
      <c r="E31">
        <v>4291476</v>
      </c>
      <c r="F31">
        <v>5346376</v>
      </c>
      <c r="G31">
        <v>5508564</v>
      </c>
      <c r="H31">
        <v>7432730</v>
      </c>
      <c r="I31">
        <v>8133100</v>
      </c>
      <c r="J31">
        <v>5038284</v>
      </c>
      <c r="K31">
        <f>SUM(unicount!$B31:$J31)/SUM(pop!$B31:$J31)*100000</f>
        <v>0.14543397098492666</v>
      </c>
    </row>
    <row r="32" spans="1:11" x14ac:dyDescent="0.3">
      <c r="A32">
        <v>2005</v>
      </c>
      <c r="B32">
        <v>2547127</v>
      </c>
      <c r="C32">
        <v>6870021</v>
      </c>
      <c r="D32">
        <v>5108408</v>
      </c>
      <c r="E32">
        <v>4329112</v>
      </c>
      <c r="F32">
        <v>5380687</v>
      </c>
      <c r="G32">
        <v>5562653</v>
      </c>
      <c r="H32">
        <v>7519009</v>
      </c>
      <c r="I32">
        <v>8202896</v>
      </c>
      <c r="J32">
        <v>5086121</v>
      </c>
      <c r="K32">
        <f>SUM(unicount!$B32:$J32)/SUM(pop!$B32:$J32)*100000</f>
        <v>0.16203601333390399</v>
      </c>
    </row>
    <row r="33" spans="1:11" x14ac:dyDescent="0.3">
      <c r="A33">
        <v>2006</v>
      </c>
      <c r="B33">
        <v>2552568</v>
      </c>
      <c r="C33">
        <v>6901585</v>
      </c>
      <c r="D33">
        <v>5134016</v>
      </c>
      <c r="E33">
        <v>4366676</v>
      </c>
      <c r="F33">
        <v>5415521</v>
      </c>
      <c r="G33">
        <v>5606294</v>
      </c>
      <c r="H33">
        <v>7597825</v>
      </c>
      <c r="I33">
        <v>8270861</v>
      </c>
      <c r="J33">
        <v>5119840</v>
      </c>
      <c r="K33">
        <f>SUM(unicount!$B33:$J33)/SUM(pop!$B33:$J33)*100000</f>
        <v>0.16678051562492088</v>
      </c>
    </row>
    <row r="34" spans="1:11" x14ac:dyDescent="0.3">
      <c r="A34">
        <v>2007</v>
      </c>
      <c r="B34">
        <v>2562045</v>
      </c>
      <c r="C34">
        <v>6929277</v>
      </c>
      <c r="D34">
        <v>5164138</v>
      </c>
      <c r="E34">
        <v>4404774</v>
      </c>
      <c r="F34">
        <v>5451924</v>
      </c>
      <c r="G34">
        <v>5653534</v>
      </c>
      <c r="H34">
        <v>7693473</v>
      </c>
      <c r="I34">
        <v>8351391</v>
      </c>
      <c r="J34">
        <v>5170537</v>
      </c>
      <c r="K34">
        <f>SUM(unicount!$B34:$J34)/SUM(pop!$B34:$J34)*100000</f>
        <v>0.17126922543278711</v>
      </c>
    </row>
    <row r="35" spans="1:11" x14ac:dyDescent="0.3">
      <c r="A35">
        <v>2008</v>
      </c>
      <c r="B35">
        <v>2569312</v>
      </c>
      <c r="C35">
        <v>6958547</v>
      </c>
      <c r="D35">
        <v>5198675</v>
      </c>
      <c r="E35">
        <v>4441125</v>
      </c>
      <c r="F35">
        <v>5496240</v>
      </c>
      <c r="G35">
        <v>5708350</v>
      </c>
      <c r="H35">
        <v>7812161</v>
      </c>
      <c r="I35">
        <v>8426399</v>
      </c>
      <c r="J35">
        <v>5205044</v>
      </c>
      <c r="K35">
        <f>SUM(unicount!$B35:$J35)/SUM(pop!$B35:$J35)*100000</f>
        <v>0.1717621053155296</v>
      </c>
    </row>
    <row r="36" spans="1:11" x14ac:dyDescent="0.3">
      <c r="A36">
        <v>2009</v>
      </c>
      <c r="B36">
        <v>2575441</v>
      </c>
      <c r="C36">
        <v>6986156</v>
      </c>
      <c r="D36">
        <v>5223344</v>
      </c>
      <c r="E36">
        <v>4471653</v>
      </c>
      <c r="F36">
        <v>5528007</v>
      </c>
      <c r="G36">
        <v>5751443</v>
      </c>
      <c r="H36">
        <v>7942594</v>
      </c>
      <c r="I36">
        <v>8490922</v>
      </c>
      <c r="J36">
        <v>5226821</v>
      </c>
      <c r="K36">
        <f>SUM(unicount!$B36:$J36)/SUM(pop!$B36:$J36)*100000</f>
        <v>0.17050990565801871</v>
      </c>
    </row>
    <row r="37" spans="1:11" x14ac:dyDescent="0.3">
      <c r="A37">
        <v>2010</v>
      </c>
      <c r="B37">
        <v>2586868</v>
      </c>
      <c r="C37">
        <v>7019921</v>
      </c>
      <c r="D37">
        <v>5254788</v>
      </c>
      <c r="E37">
        <v>4507071</v>
      </c>
      <c r="F37">
        <v>5565866</v>
      </c>
      <c r="G37">
        <v>5807402</v>
      </c>
      <c r="H37">
        <v>8061495</v>
      </c>
      <c r="I37">
        <v>8577771</v>
      </c>
      <c r="J37">
        <v>5261270</v>
      </c>
      <c r="K37">
        <f>SUM(unicount!$B37:$J37)/SUM(pop!$B37:$J37)*100000</f>
        <v>0.16906507318466094</v>
      </c>
    </row>
    <row r="38" spans="1:11" x14ac:dyDescent="0.3">
      <c r="A38">
        <v>2011</v>
      </c>
      <c r="B38">
        <v>2596441</v>
      </c>
      <c r="C38">
        <v>7055961</v>
      </c>
      <c r="D38">
        <v>5288212</v>
      </c>
      <c r="E38">
        <v>4537448</v>
      </c>
      <c r="F38">
        <v>5608667</v>
      </c>
      <c r="G38">
        <v>5862418</v>
      </c>
      <c r="H38">
        <v>8204407</v>
      </c>
      <c r="I38">
        <v>8652784</v>
      </c>
      <c r="J38">
        <v>5300831</v>
      </c>
      <c r="K38">
        <f>SUM(unicount!$B38:$J38)/SUM(pop!$B38:$J38)*100000</f>
        <v>0.16758566061015226</v>
      </c>
    </row>
    <row r="39" spans="1:11" x14ac:dyDescent="0.3">
      <c r="A39">
        <v>2012</v>
      </c>
      <c r="B39">
        <v>2598972</v>
      </c>
      <c r="C39">
        <v>7079344</v>
      </c>
      <c r="D39">
        <v>5313486</v>
      </c>
      <c r="E39">
        <v>4570702</v>
      </c>
      <c r="F39">
        <v>5640325</v>
      </c>
      <c r="G39">
        <v>5915033</v>
      </c>
      <c r="H39">
        <v>8320767</v>
      </c>
      <c r="I39">
        <v>8731840</v>
      </c>
      <c r="J39">
        <v>5336343</v>
      </c>
      <c r="K39">
        <f>SUM(unicount!$B39:$J39)/SUM(pop!$B39:$J39)*100000</f>
        <v>0.18502317050771031</v>
      </c>
    </row>
    <row r="40" spans="1:11" x14ac:dyDescent="0.3">
      <c r="A40">
        <v>2013</v>
      </c>
      <c r="B40">
        <v>2603299</v>
      </c>
      <c r="C40">
        <v>7105146</v>
      </c>
      <c r="D40">
        <v>5335092</v>
      </c>
      <c r="E40">
        <v>4604568</v>
      </c>
      <c r="F40">
        <v>5676945</v>
      </c>
      <c r="G40">
        <v>5970484</v>
      </c>
      <c r="H40">
        <v>8438987</v>
      </c>
      <c r="I40">
        <v>8809382</v>
      </c>
      <c r="J40">
        <v>5374783</v>
      </c>
      <c r="K40">
        <f>SUM(unicount!$B40:$J40)/SUM(pop!$B40:$J40)*100000</f>
        <v>0.18917374952349544</v>
      </c>
    </row>
    <row r="41" spans="1:11" x14ac:dyDescent="0.3">
      <c r="A41">
        <v>2014</v>
      </c>
      <c r="B41">
        <v>2610482</v>
      </c>
      <c r="C41">
        <v>7141096</v>
      </c>
      <c r="D41">
        <v>5356428</v>
      </c>
      <c r="E41">
        <v>4642629</v>
      </c>
      <c r="F41">
        <v>5716882</v>
      </c>
      <c r="G41">
        <v>6039521</v>
      </c>
      <c r="H41">
        <v>8547192</v>
      </c>
      <c r="I41">
        <v>8893930</v>
      </c>
      <c r="J41">
        <v>5422159</v>
      </c>
      <c r="K41">
        <f>SUM(unicount!$B41:$J41)/SUM(pop!$B41:$J41)*100000</f>
        <v>0.18944159588248877</v>
      </c>
    </row>
    <row r="42" spans="1:11" x14ac:dyDescent="0.3">
      <c r="A42">
        <v>2015</v>
      </c>
      <c r="B42">
        <v>2611804</v>
      </c>
      <c r="C42">
        <v>7182651</v>
      </c>
      <c r="D42">
        <v>5377362</v>
      </c>
      <c r="E42">
        <v>4681640</v>
      </c>
      <c r="F42">
        <v>5756287</v>
      </c>
      <c r="G42">
        <v>6098262</v>
      </c>
      <c r="H42">
        <v>8659545</v>
      </c>
      <c r="I42">
        <v>8969638</v>
      </c>
      <c r="J42">
        <v>5471487</v>
      </c>
      <c r="K42">
        <f>SUM(unicount!$B42:$J42)/SUM(pop!$B42:$J42)*100000</f>
        <v>0.18975098030100199</v>
      </c>
    </row>
    <row r="43" spans="1:11" x14ac:dyDescent="0.3">
      <c r="A43">
        <v>2016</v>
      </c>
      <c r="B43">
        <v>2618253</v>
      </c>
      <c r="C43">
        <v>7234141</v>
      </c>
      <c r="D43">
        <v>5408058</v>
      </c>
      <c r="E43">
        <v>4731615</v>
      </c>
      <c r="F43">
        <v>5812248</v>
      </c>
      <c r="G43">
        <v>6161075</v>
      </c>
      <c r="H43">
        <v>8743651</v>
      </c>
      <c r="I43">
        <v>9053011</v>
      </c>
      <c r="J43">
        <v>5526982</v>
      </c>
      <c r="K43">
        <f>SUM(unicount!$B43:$J43)/SUM(pop!$B43:$J43)*100000</f>
        <v>0.18810240019747859</v>
      </c>
    </row>
    <row r="44" spans="1:11" x14ac:dyDescent="0.3">
      <c r="A44">
        <v>2017</v>
      </c>
      <c r="B44">
        <v>2623787</v>
      </c>
      <c r="C44">
        <v>7275765</v>
      </c>
      <c r="D44">
        <v>5427784</v>
      </c>
      <c r="E44">
        <v>4778346</v>
      </c>
      <c r="F44">
        <v>5855052</v>
      </c>
      <c r="G44">
        <v>6202843</v>
      </c>
      <c r="H44">
        <v>8776229</v>
      </c>
      <c r="I44">
        <v>9105076</v>
      </c>
      <c r="J44">
        <v>5574666</v>
      </c>
      <c r="K44">
        <f>SUM(unicount!$B44:$J44)/SUM(pop!$B44:$J44)*100000</f>
        <v>0.18878254817892443</v>
      </c>
    </row>
    <row r="45" spans="1:11" x14ac:dyDescent="0.3">
      <c r="A45">
        <v>2018</v>
      </c>
      <c r="B45">
        <v>2629393</v>
      </c>
      <c r="C45">
        <v>7316116</v>
      </c>
      <c r="D45">
        <v>5443883</v>
      </c>
      <c r="E45">
        <v>4815151</v>
      </c>
      <c r="F45">
        <v>5889328</v>
      </c>
      <c r="G45">
        <v>6237376</v>
      </c>
      <c r="H45">
        <v>8833335</v>
      </c>
      <c r="I45">
        <v>9150245</v>
      </c>
      <c r="J45">
        <v>5609701</v>
      </c>
      <c r="K45">
        <f>SUM(unicount!$B45:$J45)/SUM(pop!$B45:$J45)*100000</f>
        <v>0.19132928578315406</v>
      </c>
    </row>
    <row r="46" spans="1:11" x14ac:dyDescent="0.3">
      <c r="A46">
        <v>2019</v>
      </c>
      <c r="B46">
        <v>2636676</v>
      </c>
      <c r="C46">
        <v>7363267</v>
      </c>
      <c r="D46">
        <v>5464651</v>
      </c>
      <c r="E46">
        <v>4844001</v>
      </c>
      <c r="F46">
        <v>5920977</v>
      </c>
      <c r="G46">
        <v>6274179</v>
      </c>
      <c r="H46">
        <v>8889743</v>
      </c>
      <c r="I46">
        <v>9193770</v>
      </c>
      <c r="J46">
        <v>5642792</v>
      </c>
      <c r="K46">
        <f>SUM(unicount!$B46:$J46)/SUM(pop!$B46:$J46)*100000</f>
        <v>0.19206809966541738</v>
      </c>
    </row>
    <row r="47" spans="1:11" x14ac:dyDescent="0.3">
      <c r="A47">
        <v>2020</v>
      </c>
      <c r="B47">
        <v>2637426</v>
      </c>
      <c r="C47">
        <v>7380605</v>
      </c>
      <c r="D47">
        <v>5468487</v>
      </c>
      <c r="E47">
        <v>4855469</v>
      </c>
      <c r="F47">
        <v>5931924</v>
      </c>
      <c r="G47">
        <v>6297779</v>
      </c>
      <c r="H47">
        <v>8867008</v>
      </c>
      <c r="I47">
        <v>9225273</v>
      </c>
      <c r="J47">
        <v>5661990</v>
      </c>
      <c r="K47">
        <f>SUM(unicount!$B47:$J47)/SUM(pop!$B47:$J47)*100000</f>
        <v>0.19174106945108313</v>
      </c>
    </row>
    <row r="48" spans="1:11" x14ac:dyDescent="0.3">
      <c r="A48">
        <v>2021</v>
      </c>
      <c r="B48">
        <v>2647493</v>
      </c>
      <c r="C48">
        <v>7424092</v>
      </c>
      <c r="D48">
        <v>5482455</v>
      </c>
      <c r="E48">
        <v>4881559</v>
      </c>
      <c r="F48">
        <v>5956226</v>
      </c>
      <c r="G48">
        <v>6349646</v>
      </c>
      <c r="H48">
        <v>8804769</v>
      </c>
      <c r="I48">
        <v>9295829</v>
      </c>
      <c r="J48">
        <v>5712822</v>
      </c>
      <c r="K48">
        <f>SUM(unicount!$B48:$J48)/SUM(pop!$B48:$J48)*100000</f>
        <v>0.1909649158372527</v>
      </c>
    </row>
    <row r="49" spans="1:11" x14ac:dyDescent="0.3">
      <c r="A49">
        <v>2022</v>
      </c>
      <c r="B49">
        <v>2682069</v>
      </c>
      <c r="C49">
        <v>7515718</v>
      </c>
      <c r="D49">
        <v>5538213</v>
      </c>
      <c r="E49">
        <v>4934832</v>
      </c>
      <c r="F49">
        <v>6017026</v>
      </c>
      <c r="G49">
        <v>6401418</v>
      </c>
      <c r="H49">
        <v>8869043</v>
      </c>
      <c r="I49">
        <v>9387286</v>
      </c>
      <c r="J49">
        <v>5766937</v>
      </c>
      <c r="K49">
        <f>SUM(unicount!$B49:$J49)/SUM(pop!$B49:$J49)*100000</f>
        <v>0.19960589392081338</v>
      </c>
    </row>
    <row r="50" spans="1:11" x14ac:dyDescent="0.3">
      <c r="A50">
        <v>2023</v>
      </c>
      <c r="B50">
        <v>2711380</v>
      </c>
      <c r="C50">
        <v>7600126</v>
      </c>
      <c r="D50">
        <v>5594125</v>
      </c>
      <c r="E50">
        <v>4991265</v>
      </c>
      <c r="F50">
        <v>6085687</v>
      </c>
      <c r="G50">
        <v>6468665</v>
      </c>
      <c r="H50">
        <v>8945309</v>
      </c>
      <c r="I50">
        <v>9482507</v>
      </c>
      <c r="J50">
        <v>5811259</v>
      </c>
      <c r="K50">
        <f>SUM(unicount!$B50:$J50)/SUM(pop!$B50:$J50)*100000</f>
        <v>0.20974054868786224</v>
      </c>
    </row>
    <row r="51" spans="1:11" x14ac:dyDescent="0.3">
      <c r="A51">
        <v>2024</v>
      </c>
      <c r="B51">
        <v>2760678</v>
      </c>
      <c r="C51">
        <v>7737414</v>
      </c>
      <c r="D51">
        <v>5672962</v>
      </c>
      <c r="E51">
        <v>5063164</v>
      </c>
      <c r="F51">
        <v>6187204</v>
      </c>
      <c r="G51">
        <v>6576306</v>
      </c>
      <c r="H51">
        <v>9089736</v>
      </c>
      <c r="I51">
        <v>9642942</v>
      </c>
      <c r="J51">
        <v>5889695</v>
      </c>
      <c r="K51">
        <f>SUM(unicount!$B51:$J51)/SUM(pop!$B51:$J51)*100000</f>
        <v>0.20811973694825261</v>
      </c>
    </row>
    <row r="52" spans="1:11" x14ac:dyDescent="0.3">
      <c r="A52">
        <v>2025</v>
      </c>
      <c r="B52" s="4">
        <f>B51*(B51/B50)</f>
        <v>2810872.3305785246</v>
      </c>
      <c r="C52" s="4">
        <f t="shared" ref="C52:J52" si="10">C51*(C51/C50)</f>
        <v>7877181.95821964</v>
      </c>
      <c r="D52" s="4">
        <f t="shared" si="10"/>
        <v>5752910.0356970932</v>
      </c>
      <c r="E52" s="4">
        <f t="shared" si="10"/>
        <v>5136098.7026126646</v>
      </c>
      <c r="F52" s="4">
        <f t="shared" si="10"/>
        <v>6290414.4326870581</v>
      </c>
      <c r="G52" s="4">
        <f t="shared" si="10"/>
        <v>6685738.1864165179</v>
      </c>
      <c r="H52" s="4">
        <f t="shared" si="10"/>
        <v>9236494.8544198982</v>
      </c>
      <c r="I52" s="4">
        <f t="shared" si="10"/>
        <v>9806091.4076165725</v>
      </c>
      <c r="J52" s="4">
        <f t="shared" si="10"/>
        <v>5969189.6700912826</v>
      </c>
      <c r="K52">
        <f>SUM(unicount!$B52:$J52)/SUM(pop!$B52:$J52)*100000</f>
        <v>0.20481829471854598</v>
      </c>
    </row>
  </sheetData>
  <pageMargins left="0.7" right="0.7" top="0.75" bottom="0.75" header="0.3" footer="0.3"/>
  <ignoredErrors>
    <ignoredError sqref="B7 C7:J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2693-71E9-46BE-98AE-6BF68886CBE0}">
  <dimension ref="A1:J52"/>
  <sheetViews>
    <sheetView workbookViewId="0">
      <selection activeCell="G16" sqref="G16"/>
    </sheetView>
  </sheetViews>
  <sheetFormatPr defaultRowHeight="14.4" x14ac:dyDescent="0.3"/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>
        <v>1975</v>
      </c>
      <c r="B2">
        <f>unicount!B2/pop!B2*1000000</f>
        <v>0.76274192415805697</v>
      </c>
      <c r="C2">
        <f>unicount!C2/pop!C2*1000000</f>
        <v>0.57974093693746365</v>
      </c>
      <c r="D2">
        <f>unicount!D2/pop!D2*1000000</f>
        <v>1.0191191275898959</v>
      </c>
      <c r="E2">
        <f>unicount!E2/pop!E2*1000000</f>
        <v>0.77774877645828033</v>
      </c>
      <c r="F2">
        <f>unicount!F2/pop!F2*1000000</f>
        <v>0.77222859505201957</v>
      </c>
      <c r="G2">
        <f>unicount!G2/pop!G2*1000000</f>
        <v>0.61358886842720461</v>
      </c>
      <c r="H2">
        <f>unicount!H2/pop!H2*1000000</f>
        <v>0.44371278911811907</v>
      </c>
      <c r="I2">
        <f>unicount!I2/pop!I2*1000000</f>
        <v>0.95950086313522431</v>
      </c>
      <c r="J2">
        <f>unicount!J2/pop!J2*100000</f>
        <v>6.7890503241776964E-2</v>
      </c>
    </row>
    <row r="3" spans="1:10" x14ac:dyDescent="0.3">
      <c r="A3">
        <v>1976</v>
      </c>
      <c r="B3">
        <f>unicount!B3/pop!B3*1000000</f>
        <v>0.76206015440661423</v>
      </c>
      <c r="C3">
        <f>unicount!C3/pop!C3*1000000</f>
        <v>0.57917166094536909</v>
      </c>
      <c r="D3">
        <f>unicount!D3/pop!D3*1000000</f>
        <v>1.0186922941310945</v>
      </c>
      <c r="E3">
        <f>unicount!E3/pop!E3*1000000</f>
        <v>0.77790351489350529</v>
      </c>
      <c r="F3">
        <f>unicount!F3/pop!F3*1000000</f>
        <v>0.77205898358632208</v>
      </c>
      <c r="G3">
        <f>unicount!G3/pop!G3*1000000</f>
        <v>0.61430661583031787</v>
      </c>
      <c r="H3">
        <f>unicount!H3/pop!H3*1000000</f>
        <v>0.44366954883103871</v>
      </c>
      <c r="I3">
        <f>unicount!I3/pop!I3*1000000</f>
        <v>0.96065095619290342</v>
      </c>
      <c r="J3">
        <f>unicount!J3/pop!J3*100000</f>
        <v>6.7981517438836389E-2</v>
      </c>
    </row>
    <row r="4" spans="1:10" x14ac:dyDescent="0.3">
      <c r="A4">
        <v>1977</v>
      </c>
      <c r="B4">
        <f>unicount!B4/pop!B4*1000000</f>
        <v>0.76207064328776508</v>
      </c>
      <c r="C4">
        <f>unicount!C4/pop!C4*1000000</f>
        <v>0.57915890423558791</v>
      </c>
      <c r="D4">
        <f>unicount!D4/pop!D4*1000000</f>
        <v>1.0187367623592873</v>
      </c>
      <c r="E4">
        <f>unicount!E4/pop!E4*1000000</f>
        <v>0.77814316807890693</v>
      </c>
      <c r="F4">
        <f>unicount!F4/pop!F4*1000000</f>
        <v>0.77210874184701694</v>
      </c>
      <c r="G4">
        <f>unicount!G4/pop!G4*1000000</f>
        <v>0.61453385224882073</v>
      </c>
      <c r="H4">
        <f>unicount!H4/pop!H4*1000000</f>
        <v>0.4436335216957179</v>
      </c>
      <c r="I4">
        <f>unicount!I4/pop!I4*1000000</f>
        <v>0.96094749551330383</v>
      </c>
      <c r="J4">
        <f>unicount!J4/pop!J4*100000</f>
        <v>6.8016325187683122E-2</v>
      </c>
    </row>
    <row r="5" spans="1:10" x14ac:dyDescent="0.3">
      <c r="A5">
        <v>1978</v>
      </c>
      <c r="B5">
        <f>unicount!B5/pop!B5*1000000</f>
        <v>0.76243740038221652</v>
      </c>
      <c r="C5">
        <f>unicount!C5/pop!C5*1000000</f>
        <v>0.57951725336564552</v>
      </c>
      <c r="D5">
        <f>unicount!D5/pop!D5*1000000</f>
        <v>1.0189284927754432</v>
      </c>
      <c r="E5">
        <f>unicount!E5/pop!E5*1000000</f>
        <v>0.77816502312818503</v>
      </c>
      <c r="F5">
        <f>unicount!F5/pop!F5*1000000</f>
        <v>0.77225647723710555</v>
      </c>
      <c r="G5">
        <f>unicount!G5/pop!G5*1000000</f>
        <v>0.6141182332946441</v>
      </c>
      <c r="H5">
        <f>unicount!H5/pop!H5*1000000</f>
        <v>0.4437357709395055</v>
      </c>
      <c r="I5">
        <f>unicount!I5/pop!I5*1000000</f>
        <v>0.9605407489180996</v>
      </c>
      <c r="J5">
        <f>unicount!J5/pop!J5*100000</f>
        <v>6.7975758938019243E-2</v>
      </c>
    </row>
    <row r="6" spans="1:10" x14ac:dyDescent="0.3">
      <c r="A6">
        <v>1979</v>
      </c>
      <c r="B6">
        <f>unicount!B6/pop!B6*1000000</f>
        <v>0.76310669710526313</v>
      </c>
      <c r="C6">
        <f>unicount!C6/pop!C6*1000000</f>
        <v>0.58009663388950516</v>
      </c>
      <c r="D6">
        <f>unicount!D6/pop!D6*1000000</f>
        <v>1.0193530122395265</v>
      </c>
      <c r="E6">
        <f>unicount!E6/pop!E6*1000000</f>
        <v>0.77777630518797325</v>
      </c>
      <c r="F6">
        <f>unicount!F6/pop!F6*1000000</f>
        <v>0.77239462237545808</v>
      </c>
      <c r="G6">
        <f>unicount!G6/pop!G6*1000000</f>
        <v>0.61324488259819199</v>
      </c>
      <c r="H6">
        <f>unicount!H6/pop!H6*1000000</f>
        <v>0.44380210565873657</v>
      </c>
      <c r="I6">
        <f>unicount!I6/pop!I6*1000000</f>
        <v>0.95893426478764709</v>
      </c>
      <c r="J6">
        <f>unicount!J6/pop!J6*100000</f>
        <v>6.7845658364091913E-2</v>
      </c>
    </row>
    <row r="7" spans="1:10" x14ac:dyDescent="0.3">
      <c r="A7">
        <v>1980</v>
      </c>
      <c r="B7">
        <f>unicount!B7/pop!B7*1000000</f>
        <v>0.76403842288105595</v>
      </c>
      <c r="C7">
        <f>unicount!C7/pop!C7*1000000</f>
        <v>0.58076348154581925</v>
      </c>
      <c r="D7">
        <f>unicount!D7/pop!D7*1000000</f>
        <v>1.0198860648561052</v>
      </c>
      <c r="E7">
        <f>unicount!E7/pop!E7*1000000</f>
        <v>0.77675759011268375</v>
      </c>
      <c r="F7">
        <f>unicount!F7/pop!F7*1000000</f>
        <v>0.77232425462310406</v>
      </c>
      <c r="G7">
        <f>unicount!G7/pop!G7*1000000</f>
        <v>0.61174923126572012</v>
      </c>
      <c r="H7">
        <f>unicount!H7/pop!H7*1000000</f>
        <v>0.44372303624527959</v>
      </c>
      <c r="I7">
        <f>unicount!I7/pop!I7*1000000</f>
        <v>0.95644562506877873</v>
      </c>
      <c r="J7">
        <f>unicount!J7/pop!J7*100000</f>
        <v>6.7634714824988423E-2</v>
      </c>
    </row>
    <row r="8" spans="1:10" x14ac:dyDescent="0.3">
      <c r="A8">
        <v>1981</v>
      </c>
      <c r="B8">
        <f>unicount!B8/pop!B8*1000000</f>
        <v>0.75866950611373818</v>
      </c>
      <c r="C8">
        <f>unicount!C8/pop!C8*1000000</f>
        <v>0.57634196904928359</v>
      </c>
      <c r="D8">
        <f>unicount!D8/pop!D8*1000000</f>
        <v>1.0165634786964892</v>
      </c>
      <c r="E8">
        <f>unicount!E8/pop!E8*1000000</f>
        <v>0.77867813157739685</v>
      </c>
      <c r="F8">
        <f>unicount!F8/pop!F8*1000000</f>
        <v>0.77121204263028809</v>
      </c>
      <c r="G8">
        <f>unicount!G8/pop!G8*1000000</f>
        <v>0.61792068864377125</v>
      </c>
      <c r="H8">
        <f>unicount!H8/pop!H8*1000000</f>
        <v>0.44345347374844124</v>
      </c>
      <c r="I8">
        <f>unicount!I8/pop!I8*1000000</f>
        <v>0.96644302714807495</v>
      </c>
      <c r="J8">
        <f>unicount!J8/pop!J8*100000</f>
        <v>6.8440273542085289E-2</v>
      </c>
    </row>
    <row r="9" spans="1:10" x14ac:dyDescent="0.3">
      <c r="A9">
        <v>1982</v>
      </c>
      <c r="B9">
        <f>unicount!B9/pop!B9*1000000</f>
        <v>0.76212309202483908</v>
      </c>
      <c r="C9">
        <f>unicount!C9/pop!C9*1000000</f>
        <v>0.5790951291150499</v>
      </c>
      <c r="D9">
        <f>unicount!D9/pop!D9*1000000</f>
        <v>1.0189591617471319</v>
      </c>
      <c r="E9">
        <f>unicount!E9/pop!E9*1000000</f>
        <v>0.77934365236285308</v>
      </c>
      <c r="F9">
        <f>unicount!F9/pop!F9*1000000</f>
        <v>0.77235762938728103</v>
      </c>
      <c r="G9">
        <f>unicount!G9/pop!G9*1000000</f>
        <v>0.61567256070531451</v>
      </c>
      <c r="H9">
        <f>unicount!H9/pop!H9*1000000</f>
        <v>0.44345347374844124</v>
      </c>
      <c r="I9">
        <f>unicount!I9/pop!I9*1000000</f>
        <v>0.96243294248473232</v>
      </c>
      <c r="J9">
        <f>unicount!J9/pop!J9*100000</f>
        <v>6.8190899969859622E-2</v>
      </c>
    </row>
    <row r="10" spans="1:10" x14ac:dyDescent="0.3">
      <c r="A10">
        <v>1983</v>
      </c>
      <c r="B10">
        <f>unicount!B10/pop!B10*1000000</f>
        <v>0.76427649383572793</v>
      </c>
      <c r="C10">
        <f>unicount!C10/pop!C10*1000000</f>
        <v>0.58131567141306062</v>
      </c>
      <c r="D10">
        <f>unicount!D10/pop!D10*1000000</f>
        <v>1.0198882284092721</v>
      </c>
      <c r="E10">
        <f>unicount!E10/pop!E10*1000000</f>
        <v>0.77827431679189107</v>
      </c>
      <c r="F10">
        <f>unicount!F10/pop!F10*1000000</f>
        <v>0.77299600303091731</v>
      </c>
      <c r="G10">
        <f>unicount!G10/pop!G10*1000000</f>
        <v>0.6120485427940261</v>
      </c>
      <c r="H10">
        <f>unicount!H10/pop!H10*1000000</f>
        <v>0.44424772497037979</v>
      </c>
      <c r="I10">
        <f>unicount!I10/pop!I10*1000000</f>
        <v>1.0954424800270026</v>
      </c>
      <c r="J10">
        <f>unicount!J10/pop!J10*100000</f>
        <v>6.7773651366463655E-2</v>
      </c>
    </row>
    <row r="11" spans="1:10" x14ac:dyDescent="0.3">
      <c r="A11">
        <v>1984</v>
      </c>
      <c r="B11">
        <f>unicount!B11/pop!B11*1000000</f>
        <v>0.76647088445374767</v>
      </c>
      <c r="C11">
        <f>unicount!C11/pop!C11*1000000</f>
        <v>0.58301100112608584</v>
      </c>
      <c r="D11">
        <f>unicount!D11/pop!D11*1000000</f>
        <v>1.0214809267038405</v>
      </c>
      <c r="E11">
        <f>unicount!E11/pop!E11*1000000</f>
        <v>0.77583852627920258</v>
      </c>
      <c r="F11">
        <f>unicount!F11/pop!F11*1000000</f>
        <v>0.77308609009390672</v>
      </c>
      <c r="G11">
        <f>unicount!G11/pop!G11*1000000</f>
        <v>0.60891512636511158</v>
      </c>
      <c r="H11">
        <f>unicount!H11/pop!H11*1000000</f>
        <v>0.44413407697169255</v>
      </c>
      <c r="I11">
        <f>unicount!I11/pop!I11*1000000</f>
        <v>1.0868363200048254</v>
      </c>
      <c r="J11">
        <f>unicount!J11/pop!J11*100000</f>
        <v>6.7202554772322232E-2</v>
      </c>
    </row>
    <row r="12" spans="1:10" x14ac:dyDescent="0.3">
      <c r="A12">
        <v>1985</v>
      </c>
      <c r="B12">
        <f>unicount!B12/pop!B12*1000000</f>
        <v>0.76873138949351749</v>
      </c>
      <c r="C12">
        <f>unicount!C12/pop!C12*1000000</f>
        <v>0.58412084993088387</v>
      </c>
      <c r="D12">
        <f>unicount!D12/pop!D12*1000000</f>
        <v>1.0225597123744041</v>
      </c>
      <c r="E12">
        <f>unicount!E12/pop!E12*1000000</f>
        <v>0.77170378304628529</v>
      </c>
      <c r="F12">
        <f>unicount!F12/pop!F12*1000000</f>
        <v>0.77197260809594692</v>
      </c>
      <c r="G12">
        <f>unicount!G12/pop!G12*1000000</f>
        <v>0.60437908912818716</v>
      </c>
      <c r="H12">
        <f>unicount!H12/pop!H12*1000000</f>
        <v>0.44332811142076761</v>
      </c>
      <c r="I12">
        <f>unicount!I12/pop!I12*1000000</f>
        <v>1.079078515506291</v>
      </c>
      <c r="J12">
        <f>unicount!J12/pop!J12*100000</f>
        <v>6.6599371701527368E-2</v>
      </c>
    </row>
    <row r="13" spans="1:10" x14ac:dyDescent="0.3">
      <c r="A13">
        <v>1986</v>
      </c>
      <c r="B13">
        <f>unicount!B13/pop!B13*1000000</f>
        <v>0.77094671871584941</v>
      </c>
      <c r="C13">
        <f>unicount!C13/pop!C13*1000000</f>
        <v>0.58542182569650558</v>
      </c>
      <c r="D13">
        <f>unicount!D13/pop!D13*1000000</f>
        <v>1.0238277479434372</v>
      </c>
      <c r="E13">
        <f>unicount!E13/pop!E13*1000000</f>
        <v>0.76769321750719266</v>
      </c>
      <c r="F13">
        <f>unicount!F13/pop!F13*1000000</f>
        <v>0.77220822594812688</v>
      </c>
      <c r="G13">
        <f>unicount!G13/pop!G13*1000000</f>
        <v>0.60008785286165889</v>
      </c>
      <c r="H13">
        <f>unicount!H13/pop!H13*1000000</f>
        <v>0.44285659034082536</v>
      </c>
      <c r="I13">
        <f>unicount!I13/pop!I13*1000000</f>
        <v>1.071198263801854</v>
      </c>
      <c r="J13">
        <f>unicount!J13/pop!J13*100000</f>
        <v>6.5968674115409562E-2</v>
      </c>
    </row>
    <row r="14" spans="1:10" x14ac:dyDescent="0.3">
      <c r="A14">
        <v>1987</v>
      </c>
      <c r="B14">
        <f>unicount!B14/pop!B14*1000000</f>
        <v>0.7722666683141689</v>
      </c>
      <c r="C14">
        <f>unicount!C14/pop!C14*1000000</f>
        <v>0.58645290849120768</v>
      </c>
      <c r="D14">
        <f>unicount!D14/pop!D14*1000000</f>
        <v>1.024768658475349</v>
      </c>
      <c r="E14">
        <f>unicount!E14/pop!E14*1000000</f>
        <v>0.76427415736863469</v>
      </c>
      <c r="F14">
        <f>unicount!F14/pop!F14*1000000</f>
        <v>0.77003486332843718</v>
      </c>
      <c r="G14">
        <f>unicount!G14/pop!G14*1000000</f>
        <v>0.59633148795241431</v>
      </c>
      <c r="H14">
        <f>unicount!H14/pop!H14*1000000</f>
        <v>0.44342247061106721</v>
      </c>
      <c r="I14">
        <f>unicount!I14/pop!I14*1000000</f>
        <v>1.0659503480327885</v>
      </c>
      <c r="J14">
        <f>unicount!J14/pop!J14*100000</f>
        <v>6.5365116467564516E-2</v>
      </c>
    </row>
    <row r="15" spans="1:10" x14ac:dyDescent="0.3">
      <c r="A15">
        <v>1988</v>
      </c>
      <c r="B15">
        <f>unicount!B15/pop!B15*1000000</f>
        <v>0.77450784866891154</v>
      </c>
      <c r="C15">
        <f>unicount!C15/pop!C15*1000000</f>
        <v>0.5872299219483349</v>
      </c>
      <c r="D15">
        <f>unicount!D15/pop!D15*1000000</f>
        <v>1.0227644874078259</v>
      </c>
      <c r="E15">
        <f>unicount!E15/pop!E15*1000000</f>
        <v>0.75935756325195392</v>
      </c>
      <c r="F15">
        <f>unicount!F15/pop!F15*1000000</f>
        <v>0.76863876956305766</v>
      </c>
      <c r="G15">
        <f>unicount!G15/pop!G15*1000000</f>
        <v>0.59292111481028009</v>
      </c>
      <c r="H15">
        <f>unicount!H15/pop!H15*1000000</f>
        <v>0.44580921505479887</v>
      </c>
      <c r="I15">
        <f>unicount!I15/pop!I15*1000000</f>
        <v>1.0595249037355405</v>
      </c>
      <c r="J15">
        <f>unicount!J15/pop!J15*100000</f>
        <v>6.4719250050588872E-2</v>
      </c>
    </row>
    <row r="16" spans="1:10" x14ac:dyDescent="0.3">
      <c r="A16">
        <v>1989</v>
      </c>
      <c r="B16">
        <f>unicount!B16/pop!B16*1000000</f>
        <v>0.774559140301319</v>
      </c>
      <c r="C16">
        <f>unicount!C16/pop!C16*1000000</f>
        <v>0.58610394436232482</v>
      </c>
      <c r="D16">
        <f>unicount!D16/pop!D16*1000000</f>
        <v>1.0178398832008377</v>
      </c>
      <c r="E16">
        <f>unicount!E16/pop!E16*1000000</f>
        <v>0.75451217141309312</v>
      </c>
      <c r="F16">
        <f>unicount!F16/pop!F16*1000000</f>
        <v>0.7672234471157674</v>
      </c>
      <c r="G16">
        <f>unicount!G16/pop!G16*1000000</f>
        <v>0.59170045440622565</v>
      </c>
      <c r="H16">
        <f>unicount!H16/pop!H16*1000000</f>
        <v>0.44434162050204085</v>
      </c>
      <c r="I16">
        <f>unicount!I16/pop!I16*1000000</f>
        <v>1.0570087076377335</v>
      </c>
      <c r="J16">
        <f>unicount!J16/pop!J16*100000</f>
        <v>6.4467078596972885E-2</v>
      </c>
    </row>
    <row r="17" spans="1:10" x14ac:dyDescent="0.3">
      <c r="A17">
        <v>1990</v>
      </c>
      <c r="B17">
        <f>unicount!B17/pop!B17*1000000</f>
        <v>0.7738979692917286</v>
      </c>
      <c r="C17">
        <f>unicount!C17/pop!C17*1000000</f>
        <v>0.58570359034836628</v>
      </c>
      <c r="D17">
        <f>unicount!D17/pop!D17*1000000</f>
        <v>1.0160478664214061</v>
      </c>
      <c r="E17">
        <f>unicount!E17/pop!E17*1000000</f>
        <v>0.75131931672016061</v>
      </c>
      <c r="F17">
        <f>unicount!F17/pop!F17*1000000</f>
        <v>0.76651773865769335</v>
      </c>
      <c r="G17">
        <f>unicount!G17/pop!G17*1000000</f>
        <v>0.58962704517054176</v>
      </c>
      <c r="H17">
        <f>unicount!H17/pop!H17*1000000</f>
        <v>0.44125524762803242</v>
      </c>
      <c r="I17">
        <f>unicount!I17/pop!I17*1000000</f>
        <v>1.0529007613393793</v>
      </c>
      <c r="J17">
        <f>unicount!J17/pop!J17*100000</f>
        <v>6.4264750206129193E-2</v>
      </c>
    </row>
    <row r="18" spans="1:10" x14ac:dyDescent="0.3">
      <c r="A18">
        <v>1991</v>
      </c>
      <c r="B18">
        <f>unicount!B18/pop!B18*1000000</f>
        <v>0.773100434250514</v>
      </c>
      <c r="C18">
        <f>unicount!C18/pop!C18*1000000</f>
        <v>0.58453561348985439</v>
      </c>
      <c r="D18">
        <f>unicount!D18/pop!D18*1000000</f>
        <v>1.012945442758453</v>
      </c>
      <c r="E18">
        <f>unicount!E18/pop!E18*1000000</f>
        <v>0.74786652377430285</v>
      </c>
      <c r="F18">
        <f>unicount!F18/pop!F18*1000000</f>
        <v>0.76486237544455238</v>
      </c>
      <c r="G18">
        <f>unicount!G18/pop!G18*1000000</f>
        <v>0.58581713288597737</v>
      </c>
      <c r="H18">
        <f>unicount!H18/pop!H18*1000000</f>
        <v>0.43928277422886103</v>
      </c>
      <c r="I18">
        <f>unicount!I18/pop!I18*1000000</f>
        <v>1.0486046611001487</v>
      </c>
      <c r="J18">
        <f>unicount!J18/pop!J18*100000</f>
        <v>6.3989788936080164E-2</v>
      </c>
    </row>
    <row r="19" spans="1:10" x14ac:dyDescent="0.3">
      <c r="A19">
        <v>1992</v>
      </c>
      <c r="B19">
        <f>unicount!B19/pop!B19*1000000</f>
        <v>1.929508866672095</v>
      </c>
      <c r="C19">
        <f>unicount!C19/pop!C19*1000000</f>
        <v>1.0232378783951945</v>
      </c>
      <c r="D19">
        <f>unicount!D19/pop!D19*1000000</f>
        <v>1.8185370758287529</v>
      </c>
      <c r="E19">
        <f>unicount!E19/pop!E19*1000000</f>
        <v>1.486365936852734</v>
      </c>
      <c r="F19">
        <f>unicount!F19/pop!F19*1000000</f>
        <v>1.5274827561516982</v>
      </c>
      <c r="G19">
        <f>unicount!G19/pop!G19*1000000</f>
        <v>0.97227291545173056</v>
      </c>
      <c r="H19">
        <f>unicount!H19/pop!H19*1000000</f>
        <v>1.6106813357761025</v>
      </c>
      <c r="I19">
        <f>unicount!I19/pop!I19*1000000</f>
        <v>1.4366701434084137</v>
      </c>
      <c r="J19">
        <f>unicount!J19/pop!J19*100000</f>
        <v>0.12728257431552206</v>
      </c>
    </row>
    <row r="20" spans="1:10" x14ac:dyDescent="0.3">
      <c r="A20">
        <v>1993</v>
      </c>
      <c r="B20">
        <f>unicount!B20/pop!B20*1000000</f>
        <v>1.9275636982699729</v>
      </c>
      <c r="C20">
        <f>unicount!C20/pop!C20*1000000</f>
        <v>1.0223843756298618</v>
      </c>
      <c r="D20">
        <f>unicount!D20/pop!D20*1000000</f>
        <v>1.8166616943963254</v>
      </c>
      <c r="E20">
        <f>unicount!E20/pop!E20*1000000</f>
        <v>1.479328966518594</v>
      </c>
      <c r="F20">
        <f>unicount!F20/pop!F20*1000000</f>
        <v>1.5249917555133217</v>
      </c>
      <c r="G20">
        <f>unicount!G20/pop!G20*1000000</f>
        <v>1.1640610130939404</v>
      </c>
      <c r="H20">
        <f>unicount!H20/pop!H20*1000000</f>
        <v>1.7532348278345313</v>
      </c>
      <c r="I20">
        <f>unicount!I20/pop!I20*1000000</f>
        <v>1.4335661966133433</v>
      </c>
      <c r="J20">
        <f>unicount!J20/pop!J20*100000</f>
        <v>0.12675251191790493</v>
      </c>
    </row>
    <row r="21" spans="1:10" x14ac:dyDescent="0.3">
      <c r="A21">
        <v>1994</v>
      </c>
      <c r="B21">
        <f>unicount!B21/pop!B21*1000000</f>
        <v>1.9315004938846765</v>
      </c>
      <c r="C21">
        <f>unicount!C21/pop!C21*1000000</f>
        <v>1.1697780814001775</v>
      </c>
      <c r="D21">
        <f>unicount!D21/pop!D21*1000000</f>
        <v>1.8144843023922765</v>
      </c>
      <c r="E21">
        <f>unicount!E21/pop!E21*1000000</f>
        <v>1.4735787333117207</v>
      </c>
      <c r="F21">
        <f>unicount!F21/pop!F21*1000000</f>
        <v>1.5240141771418829</v>
      </c>
      <c r="G21">
        <f>unicount!G21/pop!G21*1000000</f>
        <v>1.1587675734344809</v>
      </c>
      <c r="H21">
        <f>unicount!H21/pop!H21*1000000</f>
        <v>1.7458285971670731</v>
      </c>
      <c r="I21">
        <f>unicount!I21/pop!I21*1000000</f>
        <v>1.4264236421160139</v>
      </c>
      <c r="J21">
        <f>unicount!J21/pop!J21*100000</f>
        <v>0.1261278457069655</v>
      </c>
    </row>
    <row r="22" spans="1:10" x14ac:dyDescent="0.3">
      <c r="A22">
        <v>1995</v>
      </c>
      <c r="B22">
        <f>unicount!B22/pop!B22*1000000</f>
        <v>1.935947249309351</v>
      </c>
      <c r="C22">
        <f>unicount!C22/pop!C22*1000000</f>
        <v>1.1716564586097709</v>
      </c>
      <c r="D22">
        <f>unicount!D22/pop!D22*1000000</f>
        <v>1.8143058012427995</v>
      </c>
      <c r="E22">
        <f>unicount!E22/pop!E22*1000000</f>
        <v>1.4663964260986302</v>
      </c>
      <c r="F22">
        <f>unicount!F22/pop!F22*1000000</f>
        <v>1.5218062470526894</v>
      </c>
      <c r="G22">
        <f>unicount!G22/pop!G22*1000000</f>
        <v>1.1525827458362949</v>
      </c>
      <c r="H22">
        <f>unicount!H22/pop!H22*1000000</f>
        <v>1.7358290891106667</v>
      </c>
      <c r="I22">
        <f>unicount!I22/pop!I22*1000000</f>
        <v>1.4169819880978667</v>
      </c>
      <c r="J22">
        <f>unicount!J22/pop!J22*100000</f>
        <v>0.12547429282688563</v>
      </c>
    </row>
    <row r="23" spans="1:10" x14ac:dyDescent="0.3">
      <c r="A23">
        <v>1996</v>
      </c>
      <c r="B23">
        <f>unicount!B23/pop!B23*1000000</f>
        <v>1.9406547769217335</v>
      </c>
      <c r="C23">
        <f>unicount!C23/pop!C23*1000000</f>
        <v>1.1748040940747875</v>
      </c>
      <c r="D23">
        <f>unicount!D23/pop!D23*1000000</f>
        <v>1.8140574943351016</v>
      </c>
      <c r="E23">
        <f>unicount!E23/pop!E23*1000000</f>
        <v>1.4605398642184773</v>
      </c>
      <c r="F23">
        <f>unicount!F23/pop!F23*1000000</f>
        <v>1.5200323158870359</v>
      </c>
      <c r="G23">
        <f>unicount!G23/pop!G23*1000000</f>
        <v>1.1466224325212697</v>
      </c>
      <c r="H23">
        <f>unicount!H23/pop!H23*1000000</f>
        <v>1.7205763873545092</v>
      </c>
      <c r="I23">
        <f>unicount!I23/pop!I23*1000000</f>
        <v>1.410183008422895</v>
      </c>
      <c r="J23">
        <f>unicount!J23/pop!J23*100000</f>
        <v>0.12518020734015009</v>
      </c>
    </row>
    <row r="24" spans="1:10" x14ac:dyDescent="0.3">
      <c r="A24">
        <v>1997</v>
      </c>
      <c r="B24">
        <f>unicount!B24/pop!B24*1000000</f>
        <v>1.946990458967955</v>
      </c>
      <c r="C24">
        <f>unicount!C24/pop!C24*1000000</f>
        <v>1.1774440574251241</v>
      </c>
      <c r="D24">
        <f>unicount!D24/pop!D24*1000000</f>
        <v>1.8154088270421684</v>
      </c>
      <c r="E24">
        <f>unicount!E24/pop!E24*1000000</f>
        <v>1.4561975768872322</v>
      </c>
      <c r="F24">
        <f>unicount!F24/pop!F24*1000000</f>
        <v>1.5202541560898151</v>
      </c>
      <c r="G24">
        <f>unicount!G24/pop!G24*1000000</f>
        <v>1.1391867915088814</v>
      </c>
      <c r="H24">
        <f>unicount!H24/pop!H24*1000000</f>
        <v>1.710659604683672</v>
      </c>
      <c r="I24">
        <f>unicount!I24/pop!I24*1000000</f>
        <v>1.4007203777564585</v>
      </c>
      <c r="J24">
        <f>unicount!J24/pop!J24*100000</f>
        <v>0.12429259388078558</v>
      </c>
    </row>
    <row r="25" spans="1:10" x14ac:dyDescent="0.3">
      <c r="A25">
        <v>1998</v>
      </c>
      <c r="B25">
        <f>unicount!B25/pop!B25*1000000</f>
        <v>1.9524515567481999</v>
      </c>
      <c r="C25">
        <f>unicount!C25/pop!C25*1000000</f>
        <v>1.177826300949637</v>
      </c>
      <c r="D25">
        <f>unicount!D25/pop!D25*1000000</f>
        <v>1.8153568295640139</v>
      </c>
      <c r="E25">
        <f>unicount!E25/pop!E25*1000000</f>
        <v>1.451854683864692</v>
      </c>
      <c r="F25">
        <f>unicount!F25/pop!F25*1000000</f>
        <v>1.5176372209634266</v>
      </c>
      <c r="G25">
        <f>unicount!G25/pop!G25*1000000</f>
        <v>1.1316424583197222</v>
      </c>
      <c r="H25">
        <f>unicount!H25/pop!H25*1000000</f>
        <v>1.6983943238529433</v>
      </c>
      <c r="I25">
        <f>unicount!I25/pop!I25*1000000</f>
        <v>1.3943751918850407</v>
      </c>
      <c r="J25">
        <f>unicount!J25/pop!J25*100000</f>
        <v>0.12372501373347652</v>
      </c>
    </row>
    <row r="26" spans="1:10" x14ac:dyDescent="0.3">
      <c r="A26">
        <v>1999</v>
      </c>
      <c r="B26">
        <f>unicount!B26/pop!B26*1000000</f>
        <v>1.9605428978549309</v>
      </c>
      <c r="C26">
        <f>unicount!C26/pop!C26*1000000</f>
        <v>1.1811404353831287</v>
      </c>
      <c r="D26">
        <f>unicount!D26/pop!D26*1000000</f>
        <v>1.8158615506448832</v>
      </c>
      <c r="E26">
        <f>unicount!E26/pop!E26*1000000</f>
        <v>1.4449325373039437</v>
      </c>
      <c r="F26">
        <f>unicount!F26/pop!F26*1000000</f>
        <v>1.517462484059531</v>
      </c>
      <c r="G26">
        <f>unicount!G26/pop!G26*1000000</f>
        <v>1.1238644754306368</v>
      </c>
      <c r="H26">
        <f>unicount!H26/pop!H26*1000000</f>
        <v>1.6774039155080465</v>
      </c>
      <c r="I26">
        <f>unicount!I26/pop!I26*1000000</f>
        <v>1.3827565729962223</v>
      </c>
      <c r="J26">
        <f>unicount!J26/pop!J26*100000</f>
        <v>0.12292668775269117</v>
      </c>
    </row>
    <row r="27" spans="1:10" x14ac:dyDescent="0.3">
      <c r="A27">
        <v>2000</v>
      </c>
      <c r="B27">
        <f>unicount!B27/pop!B27*1000000</f>
        <v>1.9658562227802634</v>
      </c>
      <c r="C27">
        <f>unicount!C27/pop!C27*1000000</f>
        <v>1.180947246643637</v>
      </c>
      <c r="D27">
        <f>unicount!D27/pop!D27*1000000</f>
        <v>1.8150251411232465</v>
      </c>
      <c r="E27">
        <f>unicount!E27/pop!E27*1000000</f>
        <v>1.4395130990893641</v>
      </c>
      <c r="F27">
        <f>unicount!F27/pop!F27*1000000</f>
        <v>1.5181343040284074</v>
      </c>
      <c r="G27">
        <f>unicount!G27/pop!G27*1000000</f>
        <v>1.1162848848328883</v>
      </c>
      <c r="H27">
        <f>unicount!H27/pop!H27*1000000</f>
        <v>1.658211629811992</v>
      </c>
      <c r="I27">
        <f>unicount!I27/pop!I27*1000000</f>
        <v>1.3766178701518961</v>
      </c>
      <c r="J27">
        <f>unicount!J27/pop!J27*100000</f>
        <v>0.12202378894440068</v>
      </c>
    </row>
    <row r="28" spans="1:10" x14ac:dyDescent="0.3">
      <c r="A28">
        <v>2001</v>
      </c>
      <c r="B28">
        <f>unicount!B28/pop!B28*1000000</f>
        <v>1.9684341893397477</v>
      </c>
      <c r="C28">
        <f>unicount!C28/pop!C28*1000000</f>
        <v>1.1811631060750909</v>
      </c>
      <c r="D28">
        <f>unicount!D28/pop!D28*1000000</f>
        <v>1.6075093190329304</v>
      </c>
      <c r="E28">
        <f>unicount!E28/pop!E28*1000000</f>
        <v>1.6707951218510884</v>
      </c>
      <c r="F28">
        <f>unicount!F28/pop!F28*1000000</f>
        <v>1.5149429235785148</v>
      </c>
      <c r="G28">
        <f>unicount!G28/pop!G28*1000000</f>
        <v>1.1110158517890041</v>
      </c>
      <c r="H28">
        <f>unicount!H28/pop!H28*1000000</f>
        <v>1.6388062771196834</v>
      </c>
      <c r="I28">
        <f>unicount!I28/pop!I28*1000000</f>
        <v>1.3709814819038546</v>
      </c>
      <c r="J28">
        <f>unicount!J28/pop!J28*100000</f>
        <v>0.14160397656332813</v>
      </c>
    </row>
    <row r="29" spans="1:10" x14ac:dyDescent="0.3">
      <c r="A29">
        <v>2002</v>
      </c>
      <c r="B29">
        <f>unicount!B29/pop!B29*1000000</f>
        <v>1.9680390458946706</v>
      </c>
      <c r="C29">
        <f>unicount!C29/pop!C29*1000000</f>
        <v>1.179092334720732</v>
      </c>
      <c r="D29">
        <f>unicount!D29/pop!D29*1000000</f>
        <v>1.5999644807885265</v>
      </c>
      <c r="E29">
        <f>unicount!E29/pop!E29*1000000</f>
        <v>1.6580790017795923</v>
      </c>
      <c r="F29">
        <f>unicount!F29/pop!F29*1000000</f>
        <v>1.5090800402848916</v>
      </c>
      <c r="G29">
        <f>unicount!G29/pop!G29*1000000</f>
        <v>1.1044256544826427</v>
      </c>
      <c r="H29">
        <f>unicount!H29/pop!H29*1000000</f>
        <v>1.4911875560127326</v>
      </c>
      <c r="I29">
        <f>unicount!I29/pop!I29*1000000</f>
        <v>1.3672762564274414</v>
      </c>
      <c r="J29">
        <f>unicount!J29/pop!J29*100000</f>
        <v>0.14067159432562942</v>
      </c>
    </row>
    <row r="30" spans="1:10" x14ac:dyDescent="0.3">
      <c r="A30">
        <v>2003</v>
      </c>
      <c r="B30">
        <f>unicount!B30/pop!B30*1000000</f>
        <v>1.9681467261256913</v>
      </c>
      <c r="C30">
        <f>unicount!C30/pop!C30*1000000</f>
        <v>1.1739397123260735</v>
      </c>
      <c r="D30">
        <f>unicount!D30/pop!D30*1000000</f>
        <v>1.5916236033005497</v>
      </c>
      <c r="E30">
        <f>unicount!E30/pop!E30*1000000</f>
        <v>1.6450924541959258</v>
      </c>
      <c r="F30">
        <f>unicount!F30/pop!F30*1000000</f>
        <v>1.5022134175824693</v>
      </c>
      <c r="G30">
        <f>unicount!G30/pop!G30*1000000</f>
        <v>1.0960639794466083</v>
      </c>
      <c r="H30">
        <f>unicount!H30/pop!H30*1000000</f>
        <v>1.4875283593900972</v>
      </c>
      <c r="I30">
        <f>unicount!I30/pop!I30*1000000</f>
        <v>1.3600523447055142</v>
      </c>
      <c r="J30">
        <f>unicount!J30/pop!J30*100000</f>
        <v>0.13981396354011352</v>
      </c>
    </row>
    <row r="31" spans="1:10" x14ac:dyDescent="0.3">
      <c r="A31">
        <v>2004</v>
      </c>
      <c r="B31">
        <f>unicount!B31/pop!B31*1000000</f>
        <v>1.9681149631057169</v>
      </c>
      <c r="C31">
        <f>unicount!C31/pop!C31*1000000</f>
        <v>1.169527550341217</v>
      </c>
      <c r="D31">
        <f>unicount!D31/pop!D31*1000000</f>
        <v>1.5800287525732248</v>
      </c>
      <c r="E31">
        <f>unicount!E31/pop!E31*1000000</f>
        <v>1.6311404281417397</v>
      </c>
      <c r="F31">
        <f>unicount!F31/pop!F31*1000000</f>
        <v>1.496340698821033</v>
      </c>
      <c r="G31">
        <f>unicount!G31/pop!G31*1000000</f>
        <v>1.0892130871130843</v>
      </c>
      <c r="H31">
        <f>unicount!H31/pop!H31*1000000</f>
        <v>1.7490208846547635</v>
      </c>
      <c r="I31">
        <f>unicount!I31/pop!I31*1000000</f>
        <v>1.3524978175603397</v>
      </c>
      <c r="J31">
        <f>unicount!J31/pop!J31*100000</f>
        <v>0.13893619335472157</v>
      </c>
    </row>
    <row r="32" spans="1:10" x14ac:dyDescent="0.3">
      <c r="A32">
        <v>2005</v>
      </c>
      <c r="B32">
        <f>unicount!B32/pop!B32*1000000</f>
        <v>1.9629959558357317</v>
      </c>
      <c r="C32">
        <f>unicount!C32/pop!C32*1000000</f>
        <v>1.45559962626024</v>
      </c>
      <c r="D32">
        <f>unicount!D32/pop!D32*1000000</f>
        <v>1.5660456251732437</v>
      </c>
      <c r="E32">
        <f>unicount!E32/pop!E32*1000000</f>
        <v>1.8479540376871748</v>
      </c>
      <c r="F32">
        <f>unicount!F32/pop!F32*1000000</f>
        <v>1.6726488643550534</v>
      </c>
      <c r="G32">
        <f>unicount!G32/pop!G32*1000000</f>
        <v>1.0786220172281105</v>
      </c>
      <c r="H32">
        <f>unicount!H32/pop!H32*1000000</f>
        <v>1.7289512487616387</v>
      </c>
      <c r="I32">
        <f>unicount!I32/pop!I32*1000000</f>
        <v>1.8286224767447983</v>
      </c>
      <c r="J32">
        <f>unicount!J32/pop!J32*100000</f>
        <v>0.15729079194144222</v>
      </c>
    </row>
    <row r="33" spans="1:10" x14ac:dyDescent="0.3">
      <c r="A33">
        <v>2006</v>
      </c>
      <c r="B33">
        <f>unicount!B33/pop!B33*1000000</f>
        <v>1.9588116751444038</v>
      </c>
      <c r="C33">
        <f>unicount!C33/pop!C33*1000000</f>
        <v>1.5938367780734426</v>
      </c>
      <c r="D33">
        <f>unicount!D33/pop!D33*1000000</f>
        <v>1.7530136252010122</v>
      </c>
      <c r="E33">
        <f>unicount!E33/pop!E33*1000000</f>
        <v>1.8320571528549405</v>
      </c>
      <c r="F33">
        <f>unicount!F33/pop!F33*1000000</f>
        <v>1.661889964049627</v>
      </c>
      <c r="G33">
        <f>unicount!G33/pop!G33*1000000</f>
        <v>1.2485966665322938</v>
      </c>
      <c r="H33">
        <f>unicount!H33/pop!H33*1000000</f>
        <v>1.7110159815473507</v>
      </c>
      <c r="I33">
        <f>unicount!I33/pop!I33*1000000</f>
        <v>1.8135959484750137</v>
      </c>
      <c r="J33">
        <f>unicount!J33/pop!J33*100000</f>
        <v>0.15625488296509266</v>
      </c>
    </row>
    <row r="34" spans="1:10" x14ac:dyDescent="0.3">
      <c r="A34">
        <v>2007</v>
      </c>
      <c r="B34">
        <f>unicount!B34/pop!B34*1000000</f>
        <v>1.951566034164115</v>
      </c>
      <c r="C34">
        <f>unicount!C34/pop!C34*1000000</f>
        <v>1.7317824067359409</v>
      </c>
      <c r="D34">
        <f>unicount!D34/pop!D34*1000000</f>
        <v>1.7427884382640433</v>
      </c>
      <c r="E34">
        <f>unicount!E34/pop!E34*1000000</f>
        <v>1.816211228998355</v>
      </c>
      <c r="F34">
        <f>unicount!F34/pop!F34*1000000</f>
        <v>1.650793371294244</v>
      </c>
      <c r="G34">
        <f>unicount!G34/pop!G34*1000000</f>
        <v>1.2381635982024695</v>
      </c>
      <c r="H34">
        <f>unicount!H34/pop!H34*1000000</f>
        <v>1.8197243299612542</v>
      </c>
      <c r="I34">
        <f>unicount!I34/pop!I34*1000000</f>
        <v>1.9158485095476911</v>
      </c>
      <c r="J34">
        <f>unicount!J34/pop!J34*100000</f>
        <v>0.1547228073215606</v>
      </c>
    </row>
    <row r="35" spans="1:10" x14ac:dyDescent="0.3">
      <c r="A35">
        <v>2008</v>
      </c>
      <c r="B35">
        <f>unicount!B35/pop!B35*1000000</f>
        <v>1.9460462567411041</v>
      </c>
      <c r="C35">
        <f>unicount!C35/pop!C35*1000000</f>
        <v>1.7244979447577202</v>
      </c>
      <c r="D35">
        <f>unicount!D35/pop!D35*1000000</f>
        <v>1.7312103564850658</v>
      </c>
      <c r="E35">
        <f>unicount!E35/pop!E35*1000000</f>
        <v>1.801345379830561</v>
      </c>
      <c r="F35">
        <f>unicount!F35/pop!F35*1000000</f>
        <v>1.6374830793415134</v>
      </c>
      <c r="G35">
        <f>unicount!G35/pop!G35*1000000</f>
        <v>1.2262737919013373</v>
      </c>
      <c r="H35">
        <f>unicount!H35/pop!H35*1000000</f>
        <v>1.7920777618382417</v>
      </c>
      <c r="I35">
        <f>unicount!I35/pop!I35*1000000</f>
        <v>2.0174691466663282</v>
      </c>
      <c r="J35">
        <f>unicount!J35/pop!J35*100000</f>
        <v>0.15369706769049407</v>
      </c>
    </row>
    <row r="36" spans="1:10" x14ac:dyDescent="0.3">
      <c r="A36">
        <v>2009</v>
      </c>
      <c r="B36">
        <f>unicount!B36/pop!B36*1000000</f>
        <v>1.941415081921892</v>
      </c>
      <c r="C36">
        <f>unicount!C36/pop!C36*1000000</f>
        <v>1.7176828000977935</v>
      </c>
      <c r="D36">
        <f>unicount!D36/pop!D36*1000000</f>
        <v>1.7230341329232768</v>
      </c>
      <c r="E36">
        <f>unicount!E36/pop!E36*1000000</f>
        <v>1.7890475848640313</v>
      </c>
      <c r="F36">
        <f>unicount!F36/pop!F36*1000000</f>
        <v>1.6280731916584041</v>
      </c>
      <c r="G36">
        <f>unicount!G36/pop!G36*1000000</f>
        <v>1.2170858687115562</v>
      </c>
      <c r="H36">
        <f>unicount!H36/pop!H36*1000000</f>
        <v>1.7626483237088539</v>
      </c>
      <c r="I36">
        <f>unicount!I36/pop!I36*1000000</f>
        <v>2.0021382836869774</v>
      </c>
      <c r="J36">
        <f>unicount!J36/pop!J36*100000</f>
        <v>0.15305670502203922</v>
      </c>
    </row>
    <row r="37" spans="1:10" x14ac:dyDescent="0.3">
      <c r="A37">
        <v>2010</v>
      </c>
      <c r="B37">
        <f>unicount!B37/pop!B37*1000000</f>
        <v>1.9328392480791443</v>
      </c>
      <c r="C37">
        <f>unicount!C37/pop!C37*1000000</f>
        <v>1.7094209464750385</v>
      </c>
      <c r="D37">
        <f>unicount!D37/pop!D37*1000000</f>
        <v>1.7127237102619555</v>
      </c>
      <c r="E37">
        <f>unicount!E37/pop!E37*1000000</f>
        <v>1.7749886789003324</v>
      </c>
      <c r="F37">
        <f>unicount!F37/pop!F37*1000000</f>
        <v>1.6169990438145656</v>
      </c>
      <c r="G37">
        <f>unicount!G37/pop!G37*1000000</f>
        <v>1.2053582651932826</v>
      </c>
      <c r="H37">
        <f>unicount!H37/pop!H37*1000000</f>
        <v>1.7366505840417938</v>
      </c>
      <c r="I37">
        <f>unicount!I37/pop!I37*1000000</f>
        <v>1.9818668509569679</v>
      </c>
      <c r="J37">
        <f>unicount!J37/pop!J37*100000</f>
        <v>0.15205454196420257</v>
      </c>
    </row>
    <row r="38" spans="1:10" x14ac:dyDescent="0.3">
      <c r="A38">
        <v>2011</v>
      </c>
      <c r="B38">
        <f>unicount!B38/pop!B38*1000000</f>
        <v>1.9257129278115699</v>
      </c>
      <c r="C38">
        <f>unicount!C38/pop!C38*1000000</f>
        <v>1.7006896721793106</v>
      </c>
      <c r="D38">
        <f>unicount!D38/pop!D38*1000000</f>
        <v>1.7018984866718656</v>
      </c>
      <c r="E38">
        <f>unicount!E38/pop!E38*1000000</f>
        <v>1.7631056047364069</v>
      </c>
      <c r="F38">
        <f>unicount!F38/pop!F38*1000000</f>
        <v>1.6046593602365768</v>
      </c>
      <c r="G38">
        <f>unicount!G38/pop!G38*1000000</f>
        <v>1.1940465521223496</v>
      </c>
      <c r="H38">
        <f>unicount!H38/pop!H38*1000000</f>
        <v>1.7063999872263773</v>
      </c>
      <c r="I38">
        <f>unicount!I38/pop!I38*1000000</f>
        <v>1.9646855855872514</v>
      </c>
      <c r="J38">
        <f>unicount!J38/pop!J38*100000</f>
        <v>0.15091973315127383</v>
      </c>
    </row>
    <row r="39" spans="1:10" x14ac:dyDescent="0.3">
      <c r="A39">
        <v>2012</v>
      </c>
      <c r="B39">
        <f>unicount!B39/pop!B39*1000000</f>
        <v>1.9238375788581021</v>
      </c>
      <c r="C39">
        <f>unicount!C39/pop!C39*1000000</f>
        <v>1.6950723117848208</v>
      </c>
      <c r="D39">
        <f>unicount!D39/pop!D39*1000000</f>
        <v>1.8820036413006451</v>
      </c>
      <c r="E39">
        <f>unicount!E39/pop!E39*1000000</f>
        <v>1.9690629579438781</v>
      </c>
      <c r="F39">
        <f>unicount!F39/pop!F39*1000000</f>
        <v>2.1275369770358976</v>
      </c>
      <c r="G39">
        <f>unicount!G39/pop!G39*1000000</f>
        <v>1.3524861146167737</v>
      </c>
      <c r="H39">
        <f>unicount!H39/pop!H39*1000000</f>
        <v>1.6825371987942936</v>
      </c>
      <c r="I39">
        <f>unicount!I39/pop!I39*1000000</f>
        <v>2.0614211895774543</v>
      </c>
      <c r="J39">
        <f>unicount!J39/pop!J39*100000</f>
        <v>0.20613367618985512</v>
      </c>
    </row>
    <row r="40" spans="1:10" x14ac:dyDescent="0.3">
      <c r="A40">
        <v>2013</v>
      </c>
      <c r="B40">
        <f>unicount!B40/pop!B40*1000000</f>
        <v>1.9206399264932688</v>
      </c>
      <c r="C40">
        <f>unicount!C40/pop!C40*1000000</f>
        <v>1.6889167372493119</v>
      </c>
      <c r="D40">
        <f>unicount!D40/pop!D40*1000000</f>
        <v>1.8743819225610354</v>
      </c>
      <c r="E40">
        <f>unicount!E40/pop!E40*1000000</f>
        <v>1.9545807554584926</v>
      </c>
      <c r="F40">
        <f>unicount!F40/pop!F40*1000000</f>
        <v>2.1138129751124946</v>
      </c>
      <c r="G40">
        <f>unicount!G40/pop!G40*1000000</f>
        <v>1.339924870412516</v>
      </c>
      <c r="H40">
        <f>unicount!H40/pop!H40*1000000</f>
        <v>1.8959621575433165</v>
      </c>
      <c r="I40">
        <f>unicount!I40/pop!I40*1000000</f>
        <v>2.0432761344666401</v>
      </c>
      <c r="J40">
        <f>unicount!J40/pop!J40*100000</f>
        <v>0.22326482762187796</v>
      </c>
    </row>
    <row r="41" spans="1:10" x14ac:dyDescent="0.3">
      <c r="A41">
        <v>2014</v>
      </c>
      <c r="B41">
        <f>unicount!B41/pop!B41*1000000</f>
        <v>1.9153550953425458</v>
      </c>
      <c r="C41">
        <f>unicount!C41/pop!C41*1000000</f>
        <v>1.6804143229554678</v>
      </c>
      <c r="D41">
        <f>unicount!D41/pop!D41*1000000</f>
        <v>1.8669157879094054</v>
      </c>
      <c r="E41">
        <f>unicount!E41/pop!E41*1000000</f>
        <v>1.9385567961601065</v>
      </c>
      <c r="F41">
        <f>unicount!F41/pop!F41*1000000</f>
        <v>2.0990462983143607</v>
      </c>
      <c r="G41">
        <f>unicount!G41/pop!G41*1000000</f>
        <v>1.3246083588417028</v>
      </c>
      <c r="H41">
        <f>unicount!H41/pop!H41*1000000</f>
        <v>1.988957309020319</v>
      </c>
      <c r="I41">
        <f>unicount!I41/pop!I41*1000000</f>
        <v>2.0238522228081401</v>
      </c>
      <c r="J41">
        <f>unicount!J41/pop!J41*100000</f>
        <v>0.22131405589544681</v>
      </c>
    </row>
    <row r="42" spans="1:10" x14ac:dyDescent="0.3">
      <c r="A42">
        <v>2015</v>
      </c>
      <c r="B42">
        <f>unicount!B42/pop!B42*1000000</f>
        <v>1.9143856123966423</v>
      </c>
      <c r="C42">
        <f>unicount!C42/pop!C42*1000000</f>
        <v>1.6706923390820463</v>
      </c>
      <c r="D42">
        <f>unicount!D42/pop!D42*1000000</f>
        <v>1.8596479091420663</v>
      </c>
      <c r="E42">
        <f>unicount!E42/pop!E42*1000000</f>
        <v>1.9224032603959293</v>
      </c>
      <c r="F42">
        <f>unicount!F42/pop!F42*1000000</f>
        <v>2.2584002500222802</v>
      </c>
      <c r="G42">
        <f>unicount!G42/pop!G42*1000000</f>
        <v>1.3118491793235516</v>
      </c>
      <c r="H42">
        <f>unicount!H42/pop!H42*1000000</f>
        <v>1.9631516436487135</v>
      </c>
      <c r="I42">
        <f>unicount!I42/pop!I42*1000000</f>
        <v>2.0067699499132514</v>
      </c>
      <c r="J42">
        <f>unicount!J42/pop!J42*100000</f>
        <v>0.21931880675216808</v>
      </c>
    </row>
    <row r="43" spans="1:10" x14ac:dyDescent="0.3">
      <c r="A43">
        <v>2016</v>
      </c>
      <c r="B43">
        <f>unicount!B43/pop!B43*1000000</f>
        <v>1.9096703030608577</v>
      </c>
      <c r="C43">
        <f>unicount!C43/pop!C43*1000000</f>
        <v>1.6588009550822966</v>
      </c>
      <c r="D43">
        <f>unicount!D43/pop!D43*1000000</f>
        <v>1.8490925947909582</v>
      </c>
      <c r="E43">
        <f>unicount!E43/pop!E43*1000000</f>
        <v>1.9020989662092118</v>
      </c>
      <c r="F43">
        <f>unicount!F43/pop!F43*1000000</f>
        <v>2.2366561096498292</v>
      </c>
      <c r="G43">
        <f>unicount!G43/pop!G43*1000000</f>
        <v>1.4607840352535879</v>
      </c>
      <c r="H43">
        <f>unicount!H43/pop!H43*1000000</f>
        <v>1.8298992034334398</v>
      </c>
      <c r="I43">
        <f>unicount!I43/pop!I43*1000000</f>
        <v>1.9882887582926831</v>
      </c>
      <c r="J43">
        <f>unicount!J43/pop!J43*100000</f>
        <v>0.21711668320975172</v>
      </c>
    </row>
    <row r="44" spans="1:10" x14ac:dyDescent="0.3">
      <c r="A44">
        <v>2017</v>
      </c>
      <c r="B44">
        <f>unicount!B44/pop!B44*1000000</f>
        <v>1.9056424930834706</v>
      </c>
      <c r="C44">
        <f>unicount!C44/pop!C44*1000000</f>
        <v>1.6493111033685117</v>
      </c>
      <c r="D44">
        <f>unicount!D44/pop!D44*1000000</f>
        <v>2.0266097545517656</v>
      </c>
      <c r="E44">
        <f>unicount!E44/pop!E44*1000000</f>
        <v>1.8834969255051852</v>
      </c>
      <c r="F44">
        <f>unicount!F44/pop!F44*1000000</f>
        <v>2.2203047897781265</v>
      </c>
      <c r="G44">
        <f>unicount!G44/pop!G44*1000000</f>
        <v>1.4509475735561903</v>
      </c>
      <c r="H44">
        <f>unicount!H44/pop!H44*1000000</f>
        <v>1.8231064845732716</v>
      </c>
      <c r="I44">
        <f>unicount!I44/pop!I44*1000000</f>
        <v>1.9769192481204989</v>
      </c>
      <c r="J44">
        <f>unicount!J44/pop!J44*100000</f>
        <v>0.21525953303749498</v>
      </c>
    </row>
    <row r="45" spans="1:10" x14ac:dyDescent="0.3">
      <c r="A45">
        <v>2018</v>
      </c>
      <c r="B45">
        <f>unicount!B45/pop!B45*1000000</f>
        <v>1.901579566082362</v>
      </c>
      <c r="C45">
        <f>unicount!C45/pop!C45*1000000</f>
        <v>1.6402145619342283</v>
      </c>
      <c r="D45">
        <f>unicount!D45/pop!D45*1000000</f>
        <v>2.0206165341907605</v>
      </c>
      <c r="E45">
        <f>unicount!E45/pop!E45*1000000</f>
        <v>1.8691002628993358</v>
      </c>
      <c r="F45">
        <f>unicount!F45/pop!F45*1000000</f>
        <v>2.2073825740390074</v>
      </c>
      <c r="G45">
        <f>unicount!G45/pop!G45*1000000</f>
        <v>1.4429144563354848</v>
      </c>
      <c r="H45">
        <f>unicount!H45/pop!H45*1000000</f>
        <v>1.9245279387683134</v>
      </c>
      <c r="I45">
        <f>unicount!I45/pop!I45*1000000</f>
        <v>1.9671604421520952</v>
      </c>
      <c r="J45">
        <f>unicount!J45/pop!J45*100000</f>
        <v>0.23174140653842334</v>
      </c>
    </row>
    <row r="46" spans="1:10" x14ac:dyDescent="0.3">
      <c r="A46">
        <v>2019</v>
      </c>
      <c r="B46">
        <f>unicount!B46/pop!B46*1000000</f>
        <v>1.8963270420787386</v>
      </c>
      <c r="C46">
        <f>unicount!C46/pop!C46*1000000</f>
        <v>1.6297113767570837</v>
      </c>
      <c r="D46">
        <f>unicount!D46/pop!D46*1000000</f>
        <v>2.0129373312220671</v>
      </c>
      <c r="E46">
        <f>unicount!E46/pop!E46*1000000</f>
        <v>1.8579682374136586</v>
      </c>
      <c r="F46">
        <f>unicount!F46/pop!F46*1000000</f>
        <v>2.1955836004767457</v>
      </c>
      <c r="G46">
        <f>unicount!G46/pop!G46*1000000</f>
        <v>1.4344506269266464</v>
      </c>
      <c r="H46">
        <f>unicount!H46/pop!H46*1000000</f>
        <v>2.024805441507139</v>
      </c>
      <c r="I46">
        <f>unicount!I46/pop!I46*1000000</f>
        <v>1.9578475424118724</v>
      </c>
      <c r="J46">
        <f>unicount!J46/pop!J46*100000</f>
        <v>0.23038240643993255</v>
      </c>
    </row>
    <row r="47" spans="1:10" x14ac:dyDescent="0.3">
      <c r="A47">
        <v>2020</v>
      </c>
      <c r="B47">
        <f>unicount!B47/pop!B47*1000000</f>
        <v>1.8957877870317499</v>
      </c>
      <c r="C47">
        <f>unicount!C47/pop!C47*1000000</f>
        <v>1.6258829730083104</v>
      </c>
      <c r="D47">
        <f>unicount!D47/pop!D47*1000000</f>
        <v>2.0115253085542677</v>
      </c>
      <c r="E47">
        <f>unicount!E47/pop!E47*1000000</f>
        <v>1.8535799528325689</v>
      </c>
      <c r="F47">
        <f>unicount!F47/pop!F47*1000000</f>
        <v>2.1915317863141874</v>
      </c>
      <c r="G47">
        <f>unicount!G47/pop!G47*1000000</f>
        <v>1.4290752343008544</v>
      </c>
      <c r="H47">
        <f>unicount!H47/pop!H47*1000000</f>
        <v>2.0299970407154251</v>
      </c>
      <c r="I47">
        <f>unicount!I47/pop!I47*1000000</f>
        <v>1.9511617704971982</v>
      </c>
      <c r="J47">
        <f>unicount!J47/pop!J47*100000</f>
        <v>0.22960125326961017</v>
      </c>
    </row>
    <row r="48" spans="1:10" x14ac:dyDescent="0.3">
      <c r="A48">
        <v>2021</v>
      </c>
      <c r="B48">
        <f>unicount!B48/pop!B48*1000000</f>
        <v>1.888579119944793</v>
      </c>
      <c r="C48">
        <f>unicount!C48/pop!C48*1000000</f>
        <v>1.6163592800304738</v>
      </c>
      <c r="D48">
        <f>unicount!D48/pop!D48*1000000</f>
        <v>2.006400417331287</v>
      </c>
      <c r="E48">
        <f>unicount!E48/pop!E48*1000000</f>
        <v>1.843673301910312</v>
      </c>
      <c r="F48">
        <f>unicount!F48/pop!F48*1000000</f>
        <v>2.1825901166275425</v>
      </c>
      <c r="G48">
        <f>unicount!G48/pop!G48*1000000</f>
        <v>1.4174018520087577</v>
      </c>
      <c r="H48">
        <f>unicount!H48/pop!H48*1000000</f>
        <v>2.0443466489580819</v>
      </c>
      <c r="I48">
        <f>unicount!I48/pop!I48*1000000</f>
        <v>1.9363523145703303</v>
      </c>
      <c r="J48">
        <f>unicount!J48/pop!J48*100000</f>
        <v>0.2275582890557416</v>
      </c>
    </row>
    <row r="49" spans="1:10" x14ac:dyDescent="0.3">
      <c r="A49">
        <v>2022</v>
      </c>
      <c r="B49">
        <f>unicount!B49/pop!B49*1000000</f>
        <v>1.8642324265333965</v>
      </c>
      <c r="C49">
        <f>unicount!C49/pop!C49*1000000</f>
        <v>1.5966538393271275</v>
      </c>
      <c r="D49">
        <f>unicount!D49/pop!D49*1000000</f>
        <v>1.986200241846964</v>
      </c>
      <c r="E49">
        <f>unicount!E49/pop!E49*1000000</f>
        <v>1.823770292484121</v>
      </c>
      <c r="F49">
        <f>unicount!F49/pop!F49*1000000</f>
        <v>2.1605357862837886</v>
      </c>
      <c r="G49">
        <f>unicount!G49/pop!G49*1000000</f>
        <v>1.4059384967518134</v>
      </c>
      <c r="H49">
        <f>unicount!H49/pop!H49*1000000</f>
        <v>2.3677864680552343</v>
      </c>
      <c r="I49">
        <f>unicount!I49/pop!I49*1000000</f>
        <v>2.1305412448283771</v>
      </c>
      <c r="J49">
        <f>unicount!J49/pop!J49*100000</f>
        <v>0.24276318607260666</v>
      </c>
    </row>
    <row r="50" spans="1:10" x14ac:dyDescent="0.3">
      <c r="A50">
        <v>2023</v>
      </c>
      <c r="B50">
        <f>unicount!B50/pop!B50*1000000</f>
        <v>1.8440793986825896</v>
      </c>
      <c r="C50">
        <f>unicount!C50/pop!C50*1000000</f>
        <v>1.5789211915697188</v>
      </c>
      <c r="D50">
        <f>unicount!D50/pop!D50*1000000</f>
        <v>1.9663486246732065</v>
      </c>
      <c r="E50">
        <f>unicount!E50/pop!E50*1000000</f>
        <v>1.8031501032303434</v>
      </c>
      <c r="F50">
        <f>unicount!F50/pop!F50*1000000</f>
        <v>2.1361598123597219</v>
      </c>
      <c r="G50">
        <f>unicount!G50/pop!G50*1000000</f>
        <v>1.3913226299398718</v>
      </c>
      <c r="H50">
        <f>unicount!H50/pop!H50*1000000</f>
        <v>3.1301322290823044</v>
      </c>
      <c r="I50">
        <f>unicount!I50/pop!I50*1000000</f>
        <v>2.1091468743445163</v>
      </c>
      <c r="J50">
        <f>unicount!J50/pop!J50*100000</f>
        <v>0.24091165098647299</v>
      </c>
    </row>
    <row r="51" spans="1:10" x14ac:dyDescent="0.3">
      <c r="A51">
        <v>2024</v>
      </c>
      <c r="B51">
        <f>unicount!B51/pop!B51*1000000</f>
        <v>1.8111492901381472</v>
      </c>
      <c r="C51">
        <f>unicount!C51/pop!C51*1000000</f>
        <v>1.550905767741005</v>
      </c>
      <c r="D51">
        <f>unicount!D51/pop!D51*1000000</f>
        <v>1.9390223308388106</v>
      </c>
      <c r="E51">
        <f>unicount!E51/pop!E51*1000000</f>
        <v>1.7775446341457635</v>
      </c>
      <c r="F51">
        <f>unicount!F51/pop!F51*1000000</f>
        <v>2.101110614746176</v>
      </c>
      <c r="G51">
        <f>unicount!G51/pop!G51*1000000</f>
        <v>1.3685494561840645</v>
      </c>
      <c r="H51">
        <f>unicount!H51/pop!H51*1000000</f>
        <v>3.0803974944926891</v>
      </c>
      <c r="I51">
        <f>unicount!I51/pop!I51*1000000</f>
        <v>2.0740558223828369</v>
      </c>
      <c r="J51">
        <f>unicount!J51/pop!J51*100000</f>
        <v>0.25468211851377703</v>
      </c>
    </row>
    <row r="52" spans="1:10" x14ac:dyDescent="0.3">
      <c r="A52">
        <v>2025</v>
      </c>
      <c r="B52">
        <f>unicount!B52/pop!B52*1000000</f>
        <v>1.778807221376332</v>
      </c>
      <c r="C52">
        <f>unicount!C52/pop!C52*1000000</f>
        <v>1.5233874326691543</v>
      </c>
      <c r="D52">
        <f>unicount!D52/pop!D52*1000000</f>
        <v>1.9120757897732543</v>
      </c>
      <c r="E52">
        <f>unicount!E52/pop!E52*1000000</f>
        <v>1.7523027731966716</v>
      </c>
      <c r="F52">
        <f>unicount!F52/pop!F52*1000000</f>
        <v>2.0666364893937246</v>
      </c>
      <c r="G52">
        <f>unicount!G52/pop!G52*1000000</f>
        <v>1.3461490338172966</v>
      </c>
      <c r="H52">
        <f>unicount!H52/pop!H52*1000000</f>
        <v>3.0314529961115375</v>
      </c>
      <c r="I52">
        <f>unicount!I52/pop!I52*1000000</f>
        <v>2.0395485998086489</v>
      </c>
      <c r="J52">
        <f>unicount!J52/pop!J52*100000</f>
        <v>0.25129038996964248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E219-F845-4CA7-997D-0EC2B9D143E1}">
  <dimension ref="A1:J52"/>
  <sheetViews>
    <sheetView topLeftCell="A16" workbookViewId="0">
      <selection activeCell="I46" sqref="I46"/>
    </sheetView>
  </sheetViews>
  <sheetFormatPr defaultRowHeight="14.4" x14ac:dyDescent="0.3"/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>
        <v>1975</v>
      </c>
      <c r="B2">
        <f>unicount!B2/8592*1000</f>
        <v>0.23277467411545624</v>
      </c>
      <c r="C2">
        <f>unicount!C2/14108*1000</f>
        <v>0.28352707683583783</v>
      </c>
      <c r="D2">
        <f>unicount!D2/15420*1000</f>
        <v>0.32425421530479898</v>
      </c>
      <c r="E2">
        <f>unicount!E2/15627*1000</f>
        <v>0.19197542714532539</v>
      </c>
      <c r="F2">
        <f>unicount!F2/12998*1000</f>
        <v>0.30773965225419297</v>
      </c>
      <c r="G2">
        <f>unicount!G2/19116*1000</f>
        <v>0.15693659761456372</v>
      </c>
      <c r="H2">
        <f>unicount!H2/1572*1000</f>
        <v>1.9083969465648853</v>
      </c>
      <c r="I2">
        <f>unicount!I2/19096*1000</f>
        <v>0.36656891495601174</v>
      </c>
      <c r="J2">
        <f>unicount!J2/23836*1000</f>
        <v>0.12586004363148179</v>
      </c>
    </row>
    <row r="3" spans="1:10" x14ac:dyDescent="0.3">
      <c r="A3">
        <v>1976</v>
      </c>
      <c r="B3">
        <f>unicount!B3/8592*1000</f>
        <v>0.23277467411545624</v>
      </c>
      <c r="C3">
        <f>unicount!C3/14108*1000</f>
        <v>0.28352707683583783</v>
      </c>
      <c r="D3">
        <f>unicount!D3/15420*1000</f>
        <v>0.32425421530479898</v>
      </c>
      <c r="E3">
        <f>unicount!E3/15627*1000</f>
        <v>0.19197542714532539</v>
      </c>
      <c r="F3">
        <f>unicount!F3/12998*1000</f>
        <v>0.30773965225419297</v>
      </c>
      <c r="G3">
        <f>unicount!G3/19116*1000</f>
        <v>0.15693659761456372</v>
      </c>
      <c r="H3">
        <f>unicount!H3/1572*1000</f>
        <v>1.9083969465648853</v>
      </c>
      <c r="I3">
        <f>unicount!I3/19096*1000</f>
        <v>0.36656891495601174</v>
      </c>
      <c r="J3">
        <f>unicount!J3/23836*1000</f>
        <v>0.12586004363148179</v>
      </c>
    </row>
    <row r="4" spans="1:10" x14ac:dyDescent="0.3">
      <c r="A4">
        <v>1977</v>
      </c>
      <c r="B4">
        <f>unicount!B4/8592*1000</f>
        <v>0.23277467411545624</v>
      </c>
      <c r="C4">
        <f>unicount!C4/14108*1000</f>
        <v>0.28352707683583783</v>
      </c>
      <c r="D4">
        <f>unicount!D4/15420*1000</f>
        <v>0.32425421530479898</v>
      </c>
      <c r="E4">
        <f>unicount!E4/15627*1000</f>
        <v>0.19197542714532539</v>
      </c>
      <c r="F4">
        <f>unicount!F4/12998*1000</f>
        <v>0.30773965225419297</v>
      </c>
      <c r="G4">
        <f>unicount!G4/19116*1000</f>
        <v>0.15693659761456372</v>
      </c>
      <c r="H4">
        <f>unicount!H4/1572*1000</f>
        <v>1.9083969465648853</v>
      </c>
      <c r="I4">
        <f>unicount!I4/19096*1000</f>
        <v>0.36656891495601174</v>
      </c>
      <c r="J4">
        <f>unicount!J4/23836*1000</f>
        <v>0.12586004363148179</v>
      </c>
    </row>
    <row r="5" spans="1:10" x14ac:dyDescent="0.3">
      <c r="A5">
        <v>1978</v>
      </c>
      <c r="B5">
        <f>unicount!B5/8592*1000</f>
        <v>0.23277467411545624</v>
      </c>
      <c r="C5">
        <f>unicount!C5/14108*1000</f>
        <v>0.28352707683583783</v>
      </c>
      <c r="D5">
        <f>unicount!D5/15420*1000</f>
        <v>0.32425421530479898</v>
      </c>
      <c r="E5">
        <f>unicount!E5/15627*1000</f>
        <v>0.19197542714532539</v>
      </c>
      <c r="F5">
        <f>unicount!F5/12998*1000</f>
        <v>0.30773965225419297</v>
      </c>
      <c r="G5">
        <f>unicount!G5/19116*1000</f>
        <v>0.15693659761456372</v>
      </c>
      <c r="H5">
        <f>unicount!H5/1572*1000</f>
        <v>1.9083969465648853</v>
      </c>
      <c r="I5">
        <f>unicount!I5/19096*1000</f>
        <v>0.36656891495601174</v>
      </c>
      <c r="J5">
        <f>unicount!J5/23836*1000</f>
        <v>0.12586004363148179</v>
      </c>
    </row>
    <row r="6" spans="1:10" x14ac:dyDescent="0.3">
      <c r="A6">
        <v>1979</v>
      </c>
      <c r="B6">
        <f>unicount!B6/8592*1000</f>
        <v>0.23277467411545624</v>
      </c>
      <c r="C6">
        <f>unicount!C6/14108*1000</f>
        <v>0.28352707683583783</v>
      </c>
      <c r="D6">
        <f>unicount!D6/15420*1000</f>
        <v>0.32425421530479898</v>
      </c>
      <c r="E6">
        <f>unicount!E6/15627*1000</f>
        <v>0.19197542714532539</v>
      </c>
      <c r="F6">
        <f>unicount!F6/12998*1000</f>
        <v>0.30773965225419297</v>
      </c>
      <c r="G6">
        <f>unicount!G6/19116*1000</f>
        <v>0.15693659761456372</v>
      </c>
      <c r="H6">
        <f>unicount!H6/1572*1000</f>
        <v>1.9083969465648853</v>
      </c>
      <c r="I6">
        <f>unicount!I6/19096*1000</f>
        <v>0.36656891495601174</v>
      </c>
      <c r="J6">
        <f>unicount!J6/23836*1000</f>
        <v>0.12586004363148179</v>
      </c>
    </row>
    <row r="7" spans="1:10" x14ac:dyDescent="0.3">
      <c r="A7">
        <v>1980</v>
      </c>
      <c r="B7">
        <f>unicount!B7/8592*1000</f>
        <v>0.23277467411545624</v>
      </c>
      <c r="C7">
        <f>unicount!C7/14108*1000</f>
        <v>0.28352707683583783</v>
      </c>
      <c r="D7">
        <f>unicount!D7/15420*1000</f>
        <v>0.32425421530479898</v>
      </c>
      <c r="E7">
        <f>unicount!E7/15627*1000</f>
        <v>0.19197542714532539</v>
      </c>
      <c r="F7">
        <f>unicount!F7/12998*1000</f>
        <v>0.30773965225419297</v>
      </c>
      <c r="G7">
        <f>unicount!G7/19116*1000</f>
        <v>0.15693659761456372</v>
      </c>
      <c r="H7">
        <f>unicount!H7/1572*1000</f>
        <v>1.9083969465648853</v>
      </c>
      <c r="I7">
        <f>unicount!I7/19096*1000</f>
        <v>0.36656891495601174</v>
      </c>
      <c r="J7">
        <f>unicount!J7/23836*1000</f>
        <v>0.12586004363148179</v>
      </c>
    </row>
    <row r="8" spans="1:10" x14ac:dyDescent="0.3">
      <c r="A8">
        <v>1981</v>
      </c>
      <c r="B8">
        <f>unicount!B8/8592*1000</f>
        <v>0.23277467411545624</v>
      </c>
      <c r="C8">
        <f>unicount!C8/14108*1000</f>
        <v>0.28352707683583783</v>
      </c>
      <c r="D8">
        <f>unicount!D8/15420*1000</f>
        <v>0.32425421530479898</v>
      </c>
      <c r="E8">
        <f>unicount!E8/15627*1000</f>
        <v>0.19197542714532539</v>
      </c>
      <c r="F8">
        <f>unicount!F8/12998*1000</f>
        <v>0.30773965225419297</v>
      </c>
      <c r="G8">
        <f>unicount!G8/19116*1000</f>
        <v>0.15693659761456372</v>
      </c>
      <c r="H8">
        <f>unicount!H8/1572*1000</f>
        <v>1.9083969465648853</v>
      </c>
      <c r="I8">
        <f>unicount!I8/19096*1000</f>
        <v>0.36656891495601174</v>
      </c>
      <c r="J8">
        <f>unicount!J8/23836*1000</f>
        <v>0.12586004363148179</v>
      </c>
    </row>
    <row r="9" spans="1:10" x14ac:dyDescent="0.3">
      <c r="A9">
        <v>1982</v>
      </c>
      <c r="B9">
        <f>unicount!B9/8592*1000</f>
        <v>0.23277467411545624</v>
      </c>
      <c r="C9">
        <f>unicount!C9/14108*1000</f>
        <v>0.28352707683583783</v>
      </c>
      <c r="D9">
        <f>unicount!D9/15420*1000</f>
        <v>0.32425421530479898</v>
      </c>
      <c r="E9">
        <f>unicount!E9/15627*1000</f>
        <v>0.19197542714532539</v>
      </c>
      <c r="F9">
        <f>unicount!F9/12998*1000</f>
        <v>0.30773965225419297</v>
      </c>
      <c r="G9">
        <f>unicount!G9/19116*1000</f>
        <v>0.15693659761456372</v>
      </c>
      <c r="H9">
        <f>unicount!H9/1572*1000</f>
        <v>1.9083969465648853</v>
      </c>
      <c r="I9">
        <f>unicount!I9/19096*1000</f>
        <v>0.36656891495601174</v>
      </c>
      <c r="J9">
        <f>unicount!J9/23836*1000</f>
        <v>0.12586004363148179</v>
      </c>
    </row>
    <row r="10" spans="1:10" x14ac:dyDescent="0.3">
      <c r="A10">
        <v>1983</v>
      </c>
      <c r="B10">
        <f>unicount!B10/8592*1000</f>
        <v>0.23277467411545624</v>
      </c>
      <c r="C10">
        <f>unicount!C10/14108*1000</f>
        <v>0.28352707683583783</v>
      </c>
      <c r="D10">
        <f>unicount!D10/15420*1000</f>
        <v>0.32425421530479898</v>
      </c>
      <c r="E10">
        <f>unicount!E10/15627*1000</f>
        <v>0.19197542714532539</v>
      </c>
      <c r="F10">
        <f>unicount!F10/12998*1000</f>
        <v>0.30773965225419297</v>
      </c>
      <c r="G10">
        <f>unicount!G10/19116*1000</f>
        <v>0.15693659761456372</v>
      </c>
      <c r="H10">
        <f>unicount!H10/1572*1000</f>
        <v>1.9083969465648853</v>
      </c>
      <c r="I10">
        <f>unicount!I10/19096*1000</f>
        <v>0.41893590280687054</v>
      </c>
      <c r="J10">
        <f>unicount!J10/23836*1000</f>
        <v>0.12586004363148179</v>
      </c>
    </row>
    <row r="11" spans="1:10" x14ac:dyDescent="0.3">
      <c r="A11">
        <v>1984</v>
      </c>
      <c r="B11">
        <f>unicount!B11/8592*1000</f>
        <v>0.23277467411545624</v>
      </c>
      <c r="C11">
        <f>unicount!C11/14108*1000</f>
        <v>0.28352707683583783</v>
      </c>
      <c r="D11">
        <f>unicount!D11/15420*1000</f>
        <v>0.32425421530479898</v>
      </c>
      <c r="E11">
        <f>unicount!E11/15627*1000</f>
        <v>0.19197542714532539</v>
      </c>
      <c r="F11">
        <f>unicount!F11/12998*1000</f>
        <v>0.30773965225419297</v>
      </c>
      <c r="G11">
        <f>unicount!G11/19116*1000</f>
        <v>0.15693659761456372</v>
      </c>
      <c r="H11">
        <f>unicount!H11/1572*1000</f>
        <v>1.9083969465648853</v>
      </c>
      <c r="I11">
        <f>unicount!I11/19096*1000</f>
        <v>0.41893590280687054</v>
      </c>
      <c r="J11">
        <f>unicount!J11/23836*1000</f>
        <v>0.12586004363148179</v>
      </c>
    </row>
    <row r="12" spans="1:10" x14ac:dyDescent="0.3">
      <c r="A12">
        <v>1985</v>
      </c>
      <c r="B12">
        <f>unicount!B12/8592*1000</f>
        <v>0.23277467411545624</v>
      </c>
      <c r="C12">
        <f>unicount!C12/14108*1000</f>
        <v>0.28352707683583783</v>
      </c>
      <c r="D12">
        <f>unicount!D12/15420*1000</f>
        <v>0.32425421530479898</v>
      </c>
      <c r="E12">
        <f>unicount!E12/15627*1000</f>
        <v>0.19197542714532539</v>
      </c>
      <c r="F12">
        <f>unicount!F12/12998*1000</f>
        <v>0.30773965225419297</v>
      </c>
      <c r="G12">
        <f>unicount!G12/19116*1000</f>
        <v>0.15693659761456372</v>
      </c>
      <c r="H12">
        <f>unicount!H12/1572*1000</f>
        <v>1.9083969465648853</v>
      </c>
      <c r="I12">
        <f>unicount!I12/19096*1000</f>
        <v>0.41893590280687054</v>
      </c>
      <c r="J12">
        <f>unicount!J12/23836*1000</f>
        <v>0.12586004363148179</v>
      </c>
    </row>
    <row r="13" spans="1:10" x14ac:dyDescent="0.3">
      <c r="A13">
        <v>1986</v>
      </c>
      <c r="B13">
        <f>unicount!B13/8592*1000</f>
        <v>0.23277467411545624</v>
      </c>
      <c r="C13">
        <f>unicount!C13/14108*1000</f>
        <v>0.28352707683583783</v>
      </c>
      <c r="D13">
        <f>unicount!D13/15420*1000</f>
        <v>0.32425421530479898</v>
      </c>
      <c r="E13">
        <f>unicount!E13/15627*1000</f>
        <v>0.19197542714532539</v>
      </c>
      <c r="F13">
        <f>unicount!F13/12998*1000</f>
        <v>0.30773965225419297</v>
      </c>
      <c r="G13">
        <f>unicount!G13/19116*1000</f>
        <v>0.15693659761456372</v>
      </c>
      <c r="H13">
        <f>unicount!H13/1572*1000</f>
        <v>1.9083969465648853</v>
      </c>
      <c r="I13">
        <f>unicount!I13/19096*1000</f>
        <v>0.41893590280687054</v>
      </c>
      <c r="J13">
        <f>unicount!J13/23836*1000</f>
        <v>0.12586004363148179</v>
      </c>
    </row>
    <row r="14" spans="1:10" x14ac:dyDescent="0.3">
      <c r="A14">
        <v>1987</v>
      </c>
      <c r="B14">
        <f>unicount!B14/8592*1000</f>
        <v>0.23277467411545624</v>
      </c>
      <c r="C14">
        <f>unicount!C14/14108*1000</f>
        <v>0.28352707683583783</v>
      </c>
      <c r="D14">
        <f>unicount!D14/15420*1000</f>
        <v>0.32425421530479898</v>
      </c>
      <c r="E14">
        <f>unicount!E14/15627*1000</f>
        <v>0.19197542714532539</v>
      </c>
      <c r="F14">
        <f>unicount!F14/12998*1000</f>
        <v>0.30773965225419297</v>
      </c>
      <c r="G14">
        <f>unicount!G14/19116*1000</f>
        <v>0.15693659761456372</v>
      </c>
      <c r="H14">
        <f>unicount!H14/1572*1000</f>
        <v>1.9083969465648853</v>
      </c>
      <c r="I14">
        <f>unicount!I14/19096*1000</f>
        <v>0.41893590280687054</v>
      </c>
      <c r="J14">
        <f>unicount!J14/23836*1000</f>
        <v>0.12586004363148179</v>
      </c>
    </row>
    <row r="15" spans="1:10" x14ac:dyDescent="0.3">
      <c r="A15">
        <v>1988</v>
      </c>
      <c r="B15">
        <f>unicount!B15/8592*1000</f>
        <v>0.23277467411545624</v>
      </c>
      <c r="C15">
        <f>unicount!C15/14108*1000</f>
        <v>0.28352707683583783</v>
      </c>
      <c r="D15">
        <f>unicount!D15/15420*1000</f>
        <v>0.32425421530479898</v>
      </c>
      <c r="E15">
        <f>unicount!E15/15627*1000</f>
        <v>0.19197542714532539</v>
      </c>
      <c r="F15">
        <f>unicount!F15/12998*1000</f>
        <v>0.30773965225419297</v>
      </c>
      <c r="G15">
        <f>unicount!G15/19116*1000</f>
        <v>0.15693659761456372</v>
      </c>
      <c r="H15">
        <f>unicount!H15/1572*1000</f>
        <v>1.9083969465648853</v>
      </c>
      <c r="I15">
        <f>unicount!I15/19096*1000</f>
        <v>0.41893590280687054</v>
      </c>
      <c r="J15">
        <f>unicount!J15/23836*1000</f>
        <v>0.12586004363148179</v>
      </c>
    </row>
    <row r="16" spans="1:10" x14ac:dyDescent="0.3">
      <c r="A16">
        <v>1989</v>
      </c>
      <c r="B16">
        <f>unicount!B16/8592*1000</f>
        <v>0.23277467411545624</v>
      </c>
      <c r="C16">
        <f>unicount!C16/14108*1000</f>
        <v>0.28352707683583783</v>
      </c>
      <c r="D16">
        <f>unicount!D16/15420*1000</f>
        <v>0.32425421530479898</v>
      </c>
      <c r="E16">
        <f>unicount!E16/15627*1000</f>
        <v>0.19197542714532539</v>
      </c>
      <c r="F16">
        <f>unicount!F16/12998*1000</f>
        <v>0.30773965225419297</v>
      </c>
      <c r="G16">
        <f>unicount!G16/19116*1000</f>
        <v>0.15693659761456372</v>
      </c>
      <c r="H16">
        <f>unicount!H16/1572*1000</f>
        <v>1.9083969465648853</v>
      </c>
      <c r="I16">
        <f>unicount!I16/19096*1000</f>
        <v>0.41893590280687054</v>
      </c>
      <c r="J16">
        <f>unicount!J16/23836*1000</f>
        <v>0.12586004363148179</v>
      </c>
    </row>
    <row r="17" spans="1:10" x14ac:dyDescent="0.3">
      <c r="A17">
        <v>1990</v>
      </c>
      <c r="B17">
        <f>unicount!B17/8592*1000</f>
        <v>0.23277467411545624</v>
      </c>
      <c r="C17">
        <f>unicount!C17/14108*1000</f>
        <v>0.28352707683583783</v>
      </c>
      <c r="D17">
        <f>unicount!D17/15420*1000</f>
        <v>0.32425421530479898</v>
      </c>
      <c r="E17">
        <f>unicount!E17/15627*1000</f>
        <v>0.19197542714532539</v>
      </c>
      <c r="F17">
        <f>unicount!F17/12998*1000</f>
        <v>0.30773965225419297</v>
      </c>
      <c r="G17">
        <f>unicount!G17/19116*1000</f>
        <v>0.15693659761456372</v>
      </c>
      <c r="H17">
        <f>unicount!H17/1572*1000</f>
        <v>1.9083969465648853</v>
      </c>
      <c r="I17">
        <f>unicount!I17/19096*1000</f>
        <v>0.41893590280687054</v>
      </c>
      <c r="J17">
        <f>unicount!J17/23836*1000</f>
        <v>0.12586004363148179</v>
      </c>
    </row>
    <row r="18" spans="1:10" x14ac:dyDescent="0.3">
      <c r="A18">
        <v>1991</v>
      </c>
      <c r="B18">
        <f>unicount!B18/8592*1000</f>
        <v>0.23277467411545624</v>
      </c>
      <c r="C18">
        <f>unicount!C18/14108*1000</f>
        <v>0.28352707683583783</v>
      </c>
      <c r="D18">
        <f>unicount!D18/15420*1000</f>
        <v>0.32425421530479898</v>
      </c>
      <c r="E18">
        <f>unicount!E18/15627*1000</f>
        <v>0.19197542714532539</v>
      </c>
      <c r="F18">
        <f>unicount!F18/12998*1000</f>
        <v>0.30773965225419297</v>
      </c>
      <c r="G18">
        <f>unicount!G18/19116*1000</f>
        <v>0.15693659761456372</v>
      </c>
      <c r="H18">
        <f>unicount!H18/1572*1000</f>
        <v>1.9083969465648853</v>
      </c>
      <c r="I18">
        <f>unicount!I18/19096*1000</f>
        <v>0.41893590280687054</v>
      </c>
      <c r="J18">
        <f>unicount!J18/23836*1000</f>
        <v>0.12586004363148179</v>
      </c>
    </row>
    <row r="19" spans="1:10" x14ac:dyDescent="0.3">
      <c r="A19">
        <v>1992</v>
      </c>
      <c r="B19">
        <f>unicount!B19/8592*1000</f>
        <v>0.58193668528864062</v>
      </c>
      <c r="C19">
        <f>unicount!C19/14108*1000</f>
        <v>0.49617238446271622</v>
      </c>
      <c r="D19">
        <f>unicount!D19/15420*1000</f>
        <v>0.58365758754863817</v>
      </c>
      <c r="E19">
        <f>unicount!E19/15627*1000</f>
        <v>0.38395085429065079</v>
      </c>
      <c r="F19">
        <f>unicount!F19/12998*1000</f>
        <v>0.61547930450838595</v>
      </c>
      <c r="G19">
        <f>unicount!G19/19116*1000</f>
        <v>0.26156099602427285</v>
      </c>
      <c r="H19">
        <f>unicount!H19/1572*1000</f>
        <v>6.997455470737914</v>
      </c>
      <c r="I19">
        <f>unicount!I19/19096*1000</f>
        <v>0.57603686635944695</v>
      </c>
      <c r="J19">
        <f>unicount!J19/23836*1000</f>
        <v>0.25172008726296358</v>
      </c>
    </row>
    <row r="20" spans="1:10" x14ac:dyDescent="0.3">
      <c r="A20">
        <v>1993</v>
      </c>
      <c r="B20">
        <f>unicount!B20/8592*1000</f>
        <v>0.58193668528864062</v>
      </c>
      <c r="C20">
        <f>unicount!C20/14108*1000</f>
        <v>0.49617238446271622</v>
      </c>
      <c r="D20">
        <f>unicount!D20/15420*1000</f>
        <v>0.58365758754863817</v>
      </c>
      <c r="E20">
        <f>unicount!E20/15627*1000</f>
        <v>0.38395085429065079</v>
      </c>
      <c r="F20">
        <f>unicount!F20/12998*1000</f>
        <v>0.61547930450838595</v>
      </c>
      <c r="G20">
        <f>unicount!G20/19116*1000</f>
        <v>0.31387319522912743</v>
      </c>
      <c r="H20">
        <f>unicount!H20/1572*1000</f>
        <v>7.6335877862595414</v>
      </c>
      <c r="I20">
        <f>unicount!I20/19096*1000</f>
        <v>0.57603686635944695</v>
      </c>
      <c r="J20">
        <f>unicount!J20/23836*1000</f>
        <v>0.25172008726296358</v>
      </c>
    </row>
    <row r="21" spans="1:10" x14ac:dyDescent="0.3">
      <c r="A21">
        <v>1994</v>
      </c>
      <c r="B21">
        <f>unicount!B21/8592*1000</f>
        <v>0.58193668528864062</v>
      </c>
      <c r="C21">
        <f>unicount!C21/14108*1000</f>
        <v>0.56705415367167566</v>
      </c>
      <c r="D21">
        <f>unicount!D21/15420*1000</f>
        <v>0.58365758754863817</v>
      </c>
      <c r="E21">
        <f>unicount!E21/15627*1000</f>
        <v>0.38395085429065079</v>
      </c>
      <c r="F21">
        <f>unicount!F21/12998*1000</f>
        <v>0.61547930450838595</v>
      </c>
      <c r="G21">
        <f>unicount!G21/19116*1000</f>
        <v>0.31387319522912743</v>
      </c>
      <c r="H21">
        <f>unicount!H21/1572*1000</f>
        <v>7.6335877862595414</v>
      </c>
      <c r="I21">
        <f>unicount!I21/19096*1000</f>
        <v>0.57603686635944695</v>
      </c>
      <c r="J21">
        <f>unicount!J21/23836*1000</f>
        <v>0.25172008726296358</v>
      </c>
    </row>
    <row r="22" spans="1:10" x14ac:dyDescent="0.3">
      <c r="A22">
        <v>1995</v>
      </c>
      <c r="B22">
        <f>unicount!B22/8592*1000</f>
        <v>0.58193668528864062</v>
      </c>
      <c r="C22">
        <f>unicount!C22/14108*1000</f>
        <v>0.56705415367167566</v>
      </c>
      <c r="D22">
        <f>unicount!D22/15420*1000</f>
        <v>0.58365758754863817</v>
      </c>
      <c r="E22">
        <f>unicount!E22/15627*1000</f>
        <v>0.38395085429065079</v>
      </c>
      <c r="F22">
        <f>unicount!F22/12998*1000</f>
        <v>0.61547930450838595</v>
      </c>
      <c r="G22">
        <f>unicount!G22/19116*1000</f>
        <v>0.31387319522912743</v>
      </c>
      <c r="H22">
        <f>unicount!H22/1572*1000</f>
        <v>7.6335877862595414</v>
      </c>
      <c r="I22">
        <f>unicount!I22/19096*1000</f>
        <v>0.57603686635944695</v>
      </c>
      <c r="J22">
        <f>unicount!J22/23836*1000</f>
        <v>0.25172008726296358</v>
      </c>
    </row>
    <row r="23" spans="1:10" x14ac:dyDescent="0.3">
      <c r="A23">
        <v>1996</v>
      </c>
      <c r="B23">
        <f>unicount!B23/8592*1000</f>
        <v>0.58193668528864062</v>
      </c>
      <c r="C23">
        <f>unicount!C23/14108*1000</f>
        <v>0.56705415367167566</v>
      </c>
      <c r="D23">
        <f>unicount!D23/15420*1000</f>
        <v>0.58365758754863817</v>
      </c>
      <c r="E23">
        <f>unicount!E23/15627*1000</f>
        <v>0.38395085429065079</v>
      </c>
      <c r="F23">
        <f>unicount!F23/12998*1000</f>
        <v>0.61547930450838595</v>
      </c>
      <c r="G23">
        <f>unicount!G23/19116*1000</f>
        <v>0.31387319522912743</v>
      </c>
      <c r="H23">
        <f>unicount!H23/1572*1000</f>
        <v>7.6335877862595414</v>
      </c>
      <c r="I23">
        <f>unicount!I23/19096*1000</f>
        <v>0.57603686635944695</v>
      </c>
      <c r="J23">
        <f>unicount!J23/23836*1000</f>
        <v>0.25172008726296358</v>
      </c>
    </row>
    <row r="24" spans="1:10" x14ac:dyDescent="0.3">
      <c r="A24">
        <v>1997</v>
      </c>
      <c r="B24">
        <f>unicount!B24/8592*1000</f>
        <v>0.58193668528864062</v>
      </c>
      <c r="C24">
        <f>unicount!C24/14108*1000</f>
        <v>0.56705415367167566</v>
      </c>
      <c r="D24">
        <f>unicount!D24/15420*1000</f>
        <v>0.58365758754863817</v>
      </c>
      <c r="E24">
        <f>unicount!E24/15627*1000</f>
        <v>0.38395085429065079</v>
      </c>
      <c r="F24">
        <f>unicount!F24/12998*1000</f>
        <v>0.61547930450838595</v>
      </c>
      <c r="G24">
        <f>unicount!G24/19116*1000</f>
        <v>0.31387319522912743</v>
      </c>
      <c r="H24">
        <f>unicount!H24/1572*1000</f>
        <v>7.6335877862595414</v>
      </c>
      <c r="I24">
        <f>unicount!I24/19096*1000</f>
        <v>0.57603686635944695</v>
      </c>
      <c r="J24">
        <f>unicount!J24/23836*1000</f>
        <v>0.25172008726296358</v>
      </c>
    </row>
    <row r="25" spans="1:10" x14ac:dyDescent="0.3">
      <c r="A25">
        <v>1998</v>
      </c>
      <c r="B25">
        <f>unicount!B25/8592*1000</f>
        <v>0.58193668528864062</v>
      </c>
      <c r="C25">
        <f>unicount!C25/14108*1000</f>
        <v>0.56705415367167566</v>
      </c>
      <c r="D25">
        <f>unicount!D25/15420*1000</f>
        <v>0.58365758754863817</v>
      </c>
      <c r="E25">
        <f>unicount!E25/15627*1000</f>
        <v>0.38395085429065079</v>
      </c>
      <c r="F25">
        <f>unicount!F25/12998*1000</f>
        <v>0.61547930450838595</v>
      </c>
      <c r="G25">
        <f>unicount!G25/19116*1000</f>
        <v>0.31387319522912743</v>
      </c>
      <c r="H25">
        <f>unicount!H25/1572*1000</f>
        <v>7.6335877862595414</v>
      </c>
      <c r="I25">
        <f>unicount!I25/19096*1000</f>
        <v>0.57603686635944695</v>
      </c>
      <c r="J25">
        <f>unicount!J25/23836*1000</f>
        <v>0.25172008726296358</v>
      </c>
    </row>
    <row r="26" spans="1:10" x14ac:dyDescent="0.3">
      <c r="A26">
        <v>1999</v>
      </c>
      <c r="B26">
        <f>unicount!B26/8592*1000</f>
        <v>0.58193668528864062</v>
      </c>
      <c r="C26">
        <f>unicount!C26/14108*1000</f>
        <v>0.56705415367167566</v>
      </c>
      <c r="D26">
        <f>unicount!D26/15420*1000</f>
        <v>0.58365758754863817</v>
      </c>
      <c r="E26">
        <f>unicount!E26/15627*1000</f>
        <v>0.38395085429065079</v>
      </c>
      <c r="F26">
        <f>unicount!F26/12998*1000</f>
        <v>0.61547930450838595</v>
      </c>
      <c r="G26">
        <f>unicount!G26/19116*1000</f>
        <v>0.31387319522912743</v>
      </c>
      <c r="H26">
        <f>unicount!H26/1572*1000</f>
        <v>7.6335877862595414</v>
      </c>
      <c r="I26">
        <f>unicount!I26/19096*1000</f>
        <v>0.57603686635944695</v>
      </c>
      <c r="J26">
        <f>unicount!J26/23836*1000</f>
        <v>0.25172008726296358</v>
      </c>
    </row>
    <row r="27" spans="1:10" x14ac:dyDescent="0.3">
      <c r="A27">
        <v>2000</v>
      </c>
      <c r="B27">
        <f>unicount!B27/8592*1000</f>
        <v>0.58193668528864062</v>
      </c>
      <c r="C27">
        <f>unicount!C27/14108*1000</f>
        <v>0.56705415367167566</v>
      </c>
      <c r="D27">
        <f>unicount!D27/15420*1000</f>
        <v>0.58365758754863817</v>
      </c>
      <c r="E27">
        <f>unicount!E27/15627*1000</f>
        <v>0.38395085429065079</v>
      </c>
      <c r="F27">
        <f>unicount!F27/12998*1000</f>
        <v>0.61547930450838595</v>
      </c>
      <c r="G27">
        <f>unicount!G27/19116*1000</f>
        <v>0.31387319522912743</v>
      </c>
      <c r="H27">
        <f>unicount!H27/1572*1000</f>
        <v>7.6335877862595414</v>
      </c>
      <c r="I27">
        <f>unicount!I27/19096*1000</f>
        <v>0.57603686635944695</v>
      </c>
      <c r="J27">
        <f>unicount!J27/23836*1000</f>
        <v>0.25172008726296358</v>
      </c>
    </row>
    <row r="28" spans="1:10" x14ac:dyDescent="0.3">
      <c r="A28">
        <v>2001</v>
      </c>
      <c r="B28">
        <f>unicount!B28/8592*1000</f>
        <v>0.58193668528864062</v>
      </c>
      <c r="C28">
        <f>unicount!C28/14108*1000</f>
        <v>0.56705415367167566</v>
      </c>
      <c r="D28">
        <f>unicount!D28/15420*1000</f>
        <v>0.51880674448767838</v>
      </c>
      <c r="E28">
        <f>unicount!E28/15627*1000</f>
        <v>0.44794266333909261</v>
      </c>
      <c r="F28">
        <f>unicount!F28/12998*1000</f>
        <v>0.61547930450838595</v>
      </c>
      <c r="G28">
        <f>unicount!G28/19116*1000</f>
        <v>0.31387319522912743</v>
      </c>
      <c r="H28">
        <f>unicount!H28/1572*1000</f>
        <v>7.6335877862595414</v>
      </c>
      <c r="I28">
        <f>unicount!I28/19096*1000</f>
        <v>0.57603686635944695</v>
      </c>
      <c r="J28">
        <f>unicount!J28/23836*1000</f>
        <v>0.29367343514012417</v>
      </c>
    </row>
    <row r="29" spans="1:10" x14ac:dyDescent="0.3">
      <c r="A29">
        <v>2002</v>
      </c>
      <c r="B29">
        <f>unicount!B29/8592*1000</f>
        <v>0.58193668528864062</v>
      </c>
      <c r="C29">
        <f>unicount!C29/14108*1000</f>
        <v>0.56705415367167566</v>
      </c>
      <c r="D29">
        <f>unicount!D29/15420*1000</f>
        <v>0.51880674448767838</v>
      </c>
      <c r="E29">
        <f>unicount!E29/15627*1000</f>
        <v>0.44794266333909261</v>
      </c>
      <c r="F29">
        <f>unicount!F29/12998*1000</f>
        <v>0.61547930450838595</v>
      </c>
      <c r="G29">
        <f>unicount!G29/19116*1000</f>
        <v>0.31387319522912743</v>
      </c>
      <c r="H29">
        <f>unicount!H29/1572*1000</f>
        <v>6.997455470737914</v>
      </c>
      <c r="I29">
        <f>unicount!I29/19096*1000</f>
        <v>0.57603686635944695</v>
      </c>
      <c r="J29">
        <f>unicount!J29/23836*1000</f>
        <v>0.29367343514012417</v>
      </c>
    </row>
    <row r="30" spans="1:10" x14ac:dyDescent="0.3">
      <c r="A30">
        <v>2003</v>
      </c>
      <c r="B30">
        <f>unicount!B30/8592*1000</f>
        <v>0.58193668528864062</v>
      </c>
      <c r="C30">
        <f>unicount!C30/14108*1000</f>
        <v>0.56705415367167566</v>
      </c>
      <c r="D30">
        <f>unicount!D30/15420*1000</f>
        <v>0.51880674448767838</v>
      </c>
      <c r="E30">
        <f>unicount!E30/15627*1000</f>
        <v>0.44794266333909261</v>
      </c>
      <c r="F30">
        <f>unicount!F30/12998*1000</f>
        <v>0.61547930450838595</v>
      </c>
      <c r="G30">
        <f>unicount!G30/19116*1000</f>
        <v>0.31387319522912743</v>
      </c>
      <c r="H30">
        <f>unicount!H30/1572*1000</f>
        <v>6.997455470737914</v>
      </c>
      <c r="I30">
        <f>unicount!I30/19096*1000</f>
        <v>0.57603686635944695</v>
      </c>
      <c r="J30">
        <f>unicount!J30/23836*1000</f>
        <v>0.29367343514012417</v>
      </c>
    </row>
    <row r="31" spans="1:10" x14ac:dyDescent="0.3">
      <c r="A31">
        <v>2004</v>
      </c>
      <c r="B31">
        <f>unicount!B31/8592*1000</f>
        <v>0.58193668528864062</v>
      </c>
      <c r="C31">
        <f>unicount!C31/14108*1000</f>
        <v>0.56705415367167566</v>
      </c>
      <c r="D31">
        <f>unicount!D31/15420*1000</f>
        <v>0.51880674448767838</v>
      </c>
      <c r="E31">
        <f>unicount!E31/15627*1000</f>
        <v>0.44794266333909261</v>
      </c>
      <c r="F31">
        <f>unicount!F31/12998*1000</f>
        <v>0.61547930450838595</v>
      </c>
      <c r="G31">
        <f>unicount!G31/19116*1000</f>
        <v>0.31387319522912743</v>
      </c>
      <c r="H31">
        <f>unicount!H31/1572*1000</f>
        <v>8.2697201017811697</v>
      </c>
      <c r="I31">
        <f>unicount!I31/19096*1000</f>
        <v>0.57603686635944695</v>
      </c>
      <c r="J31">
        <f>unicount!J31/23836*1000</f>
        <v>0.29367343514012417</v>
      </c>
    </row>
    <row r="32" spans="1:10" x14ac:dyDescent="0.3">
      <c r="A32">
        <v>2005</v>
      </c>
      <c r="B32">
        <f>unicount!B32/8592*1000</f>
        <v>0.58193668528864062</v>
      </c>
      <c r="C32">
        <f>unicount!C32/14108*1000</f>
        <v>0.70881769208959455</v>
      </c>
      <c r="D32">
        <f>unicount!D32/15420*1000</f>
        <v>0.51880674448767838</v>
      </c>
      <c r="E32">
        <f>unicount!E32/15627*1000</f>
        <v>0.51193447238753442</v>
      </c>
      <c r="F32">
        <f>unicount!F32/12998*1000</f>
        <v>0.69241421757193411</v>
      </c>
      <c r="G32">
        <f>unicount!G32/19116*1000</f>
        <v>0.31387319522912743</v>
      </c>
      <c r="H32">
        <f>unicount!H32/1572*1000</f>
        <v>8.2697201017811697</v>
      </c>
      <c r="I32">
        <f>unicount!I32/19096*1000</f>
        <v>0.78550481776288228</v>
      </c>
      <c r="J32">
        <f>unicount!J32/23836*1000</f>
        <v>0.33562678301728482</v>
      </c>
    </row>
    <row r="33" spans="1:10" x14ac:dyDescent="0.3">
      <c r="A33">
        <v>2006</v>
      </c>
      <c r="B33">
        <f>unicount!B33/8592*1000</f>
        <v>0.58193668528864062</v>
      </c>
      <c r="C33">
        <f>unicount!C33/14108*1000</f>
        <v>0.77969946129855405</v>
      </c>
      <c r="D33">
        <f>unicount!D33/15420*1000</f>
        <v>0.58365758754863817</v>
      </c>
      <c r="E33">
        <f>unicount!E33/15627*1000</f>
        <v>0.51193447238753442</v>
      </c>
      <c r="F33">
        <f>unicount!F33/12998*1000</f>
        <v>0.69241421757193411</v>
      </c>
      <c r="G33">
        <f>unicount!G33/19116*1000</f>
        <v>0.36618539443398201</v>
      </c>
      <c r="H33">
        <f>unicount!H33/1572*1000</f>
        <v>8.2697201017811697</v>
      </c>
      <c r="I33">
        <f>unicount!I33/19096*1000</f>
        <v>0.78550481776288228</v>
      </c>
      <c r="J33">
        <f>unicount!J33/23836*1000</f>
        <v>0.33562678301728482</v>
      </c>
    </row>
    <row r="34" spans="1:10" x14ac:dyDescent="0.3">
      <c r="A34">
        <v>2007</v>
      </c>
      <c r="B34">
        <f>unicount!B34/8592*1000</f>
        <v>0.58193668528864062</v>
      </c>
      <c r="C34">
        <f>unicount!C34/14108*1000</f>
        <v>0.85058123050751344</v>
      </c>
      <c r="D34">
        <f>unicount!D34/15420*1000</f>
        <v>0.58365758754863817</v>
      </c>
      <c r="E34">
        <f>unicount!E34/15627*1000</f>
        <v>0.51193447238753442</v>
      </c>
      <c r="F34">
        <f>unicount!F34/12998*1000</f>
        <v>0.69241421757193411</v>
      </c>
      <c r="G34">
        <f>unicount!G34/19116*1000</f>
        <v>0.36618539443398201</v>
      </c>
      <c r="H34">
        <f>unicount!H34/1572*1000</f>
        <v>8.905852417302798</v>
      </c>
      <c r="I34">
        <f>unicount!I34/19096*1000</f>
        <v>0.83787180561374108</v>
      </c>
      <c r="J34">
        <f>unicount!J34/23836*1000</f>
        <v>0.33562678301728482</v>
      </c>
    </row>
    <row r="35" spans="1:10" x14ac:dyDescent="0.3">
      <c r="A35">
        <v>2008</v>
      </c>
      <c r="B35">
        <f>unicount!B35/8592*1000</f>
        <v>0.58193668528864062</v>
      </c>
      <c r="C35">
        <f>unicount!C35/14108*1000</f>
        <v>0.85058123050751344</v>
      </c>
      <c r="D35">
        <f>unicount!D35/15420*1000</f>
        <v>0.58365758754863817</v>
      </c>
      <c r="E35">
        <f>unicount!E35/15627*1000</f>
        <v>0.51193447238753442</v>
      </c>
      <c r="F35">
        <f>unicount!F35/12998*1000</f>
        <v>0.69241421757193411</v>
      </c>
      <c r="G35">
        <f>unicount!G35/19116*1000</f>
        <v>0.36618539443398201</v>
      </c>
      <c r="H35">
        <f>unicount!H35/1572*1000</f>
        <v>8.905852417302798</v>
      </c>
      <c r="I35">
        <f>unicount!I35/19096*1000</f>
        <v>0.89023879346459989</v>
      </c>
      <c r="J35">
        <f>unicount!J35/23836*1000</f>
        <v>0.33562678301728482</v>
      </c>
    </row>
    <row r="36" spans="1:10" x14ac:dyDescent="0.3">
      <c r="A36">
        <v>2009</v>
      </c>
      <c r="B36">
        <f>unicount!B36/8592*1000</f>
        <v>0.58193668528864062</v>
      </c>
      <c r="C36">
        <f>unicount!C36/14108*1000</f>
        <v>0.85058123050751344</v>
      </c>
      <c r="D36">
        <f>unicount!D36/15420*1000</f>
        <v>0.58365758754863817</v>
      </c>
      <c r="E36">
        <f>unicount!E36/15627*1000</f>
        <v>0.51193447238753442</v>
      </c>
      <c r="F36">
        <f>unicount!F36/12998*1000</f>
        <v>0.69241421757193411</v>
      </c>
      <c r="G36">
        <f>unicount!G36/19116*1000</f>
        <v>0.36618539443398201</v>
      </c>
      <c r="H36">
        <f>unicount!H36/1572*1000</f>
        <v>8.905852417302798</v>
      </c>
      <c r="I36">
        <f>unicount!I36/19096*1000</f>
        <v>0.89023879346459989</v>
      </c>
      <c r="J36">
        <f>unicount!J36/23836*1000</f>
        <v>0.33562678301728482</v>
      </c>
    </row>
    <row r="37" spans="1:10" x14ac:dyDescent="0.3">
      <c r="A37">
        <v>2010</v>
      </c>
      <c r="B37">
        <f>unicount!B37/8592*1000</f>
        <v>0.58193668528864062</v>
      </c>
      <c r="C37">
        <f>unicount!C37/14108*1000</f>
        <v>0.85058123050751344</v>
      </c>
      <c r="D37">
        <f>unicount!D37/15420*1000</f>
        <v>0.58365758754863817</v>
      </c>
      <c r="E37">
        <f>unicount!E37/15627*1000</f>
        <v>0.51193447238753442</v>
      </c>
      <c r="F37">
        <f>unicount!F37/12998*1000</f>
        <v>0.69241421757193411</v>
      </c>
      <c r="G37">
        <f>unicount!G37/19116*1000</f>
        <v>0.36618539443398201</v>
      </c>
      <c r="H37">
        <f>unicount!H37/1572*1000</f>
        <v>8.905852417302798</v>
      </c>
      <c r="I37">
        <f>unicount!I37/19096*1000</f>
        <v>0.89023879346459989</v>
      </c>
      <c r="J37">
        <f>unicount!J37/23836*1000</f>
        <v>0.33562678301728482</v>
      </c>
    </row>
    <row r="38" spans="1:10" x14ac:dyDescent="0.3">
      <c r="A38">
        <v>2011</v>
      </c>
      <c r="B38">
        <f>unicount!B38/8592*1000</f>
        <v>0.58193668528864062</v>
      </c>
      <c r="C38">
        <f>unicount!C38/14108*1000</f>
        <v>0.85058123050751344</v>
      </c>
      <c r="D38">
        <f>unicount!D38/15420*1000</f>
        <v>0.58365758754863817</v>
      </c>
      <c r="E38">
        <f>unicount!E38/15627*1000</f>
        <v>0.51193447238753442</v>
      </c>
      <c r="F38">
        <f>unicount!F38/12998*1000</f>
        <v>0.69241421757193411</v>
      </c>
      <c r="G38">
        <f>unicount!G38/19116*1000</f>
        <v>0.36618539443398201</v>
      </c>
      <c r="H38">
        <f>unicount!H38/1572*1000</f>
        <v>8.905852417302798</v>
      </c>
      <c r="I38">
        <f>unicount!I38/19096*1000</f>
        <v>0.89023879346459989</v>
      </c>
      <c r="J38">
        <f>unicount!J38/23836*1000</f>
        <v>0.33562678301728482</v>
      </c>
    </row>
    <row r="39" spans="1:10" x14ac:dyDescent="0.3">
      <c r="A39">
        <v>2012</v>
      </c>
      <c r="B39">
        <f>unicount!B39/8592*1000</f>
        <v>0.58193668528864062</v>
      </c>
      <c r="C39">
        <f>unicount!C39/14108*1000</f>
        <v>0.85058123050751344</v>
      </c>
      <c r="D39">
        <f>unicount!D39/15420*1000</f>
        <v>0.64850843060959795</v>
      </c>
      <c r="E39">
        <f>unicount!E39/15627*1000</f>
        <v>0.57592628143597624</v>
      </c>
      <c r="F39">
        <f>unicount!F39/12998*1000</f>
        <v>0.92321895676257881</v>
      </c>
      <c r="G39">
        <f>unicount!G39/19116*1000</f>
        <v>0.4184975936388366</v>
      </c>
      <c r="H39">
        <f>unicount!H39/1572*1000</f>
        <v>8.905852417302798</v>
      </c>
      <c r="I39">
        <f>unicount!I39/19096*1000</f>
        <v>0.94260578131545869</v>
      </c>
      <c r="J39">
        <f>unicount!J39/23836*1000</f>
        <v>0.46148682664876656</v>
      </c>
    </row>
    <row r="40" spans="1:10" x14ac:dyDescent="0.3">
      <c r="A40">
        <v>2013</v>
      </c>
      <c r="B40">
        <f>unicount!B40/8592*1000</f>
        <v>0.58193668528864062</v>
      </c>
      <c r="C40">
        <f>unicount!C40/14108*1000</f>
        <v>0.85058123050751344</v>
      </c>
      <c r="D40">
        <f>unicount!D40/15420*1000</f>
        <v>0.64850843060959795</v>
      </c>
      <c r="E40">
        <f>unicount!E40/15627*1000</f>
        <v>0.57592628143597624</v>
      </c>
      <c r="F40">
        <f>unicount!F40/12998*1000</f>
        <v>0.92321895676257881</v>
      </c>
      <c r="G40">
        <f>unicount!G40/19116*1000</f>
        <v>0.4184975936388366</v>
      </c>
      <c r="H40">
        <f>unicount!H40/1572*1000</f>
        <v>10.178117048346056</v>
      </c>
      <c r="I40">
        <f>unicount!I40/19096*1000</f>
        <v>0.94260578131545869</v>
      </c>
      <c r="J40">
        <f>unicount!J40/23836*1000</f>
        <v>0.50344017452592715</v>
      </c>
    </row>
    <row r="41" spans="1:10" x14ac:dyDescent="0.3">
      <c r="A41">
        <v>2014</v>
      </c>
      <c r="B41">
        <f>unicount!B41/8592*1000</f>
        <v>0.58193668528864062</v>
      </c>
      <c r="C41">
        <f>unicount!C41/14108*1000</f>
        <v>0.85058123050751344</v>
      </c>
      <c r="D41">
        <f>unicount!D41/15420*1000</f>
        <v>0.64850843060959795</v>
      </c>
      <c r="E41">
        <f>unicount!E41/15627*1000</f>
        <v>0.57592628143597624</v>
      </c>
      <c r="F41">
        <f>unicount!F41/12998*1000</f>
        <v>0.92321895676257881</v>
      </c>
      <c r="G41">
        <f>unicount!G41/19116*1000</f>
        <v>0.4184975936388366</v>
      </c>
      <c r="H41">
        <f>unicount!H41/1572*1000</f>
        <v>10.814249363867685</v>
      </c>
      <c r="I41">
        <f>unicount!I41/19096*1000</f>
        <v>0.94260578131545869</v>
      </c>
      <c r="J41">
        <f>unicount!J41/23836*1000</f>
        <v>0.50344017452592715</v>
      </c>
    </row>
    <row r="42" spans="1:10" x14ac:dyDescent="0.3">
      <c r="A42">
        <v>2015</v>
      </c>
      <c r="B42">
        <f>unicount!B42/8592*1000</f>
        <v>0.58193668528864062</v>
      </c>
      <c r="C42">
        <f>unicount!C42/14108*1000</f>
        <v>0.85058123050751344</v>
      </c>
      <c r="D42">
        <f>unicount!D42/15420*1000</f>
        <v>0.64850843060959795</v>
      </c>
      <c r="E42">
        <f>unicount!E42/15627*1000</f>
        <v>0.57592628143597624</v>
      </c>
      <c r="F42">
        <f>unicount!F42/12998*1000</f>
        <v>1.000153869826127</v>
      </c>
      <c r="G42">
        <f>unicount!G42/19116*1000</f>
        <v>0.4184975936388366</v>
      </c>
      <c r="H42">
        <f>unicount!H42/1572*1000</f>
        <v>10.814249363867685</v>
      </c>
      <c r="I42">
        <f>unicount!I42/19096*1000</f>
        <v>0.94260578131545869</v>
      </c>
      <c r="J42">
        <f>unicount!J42/23836*1000</f>
        <v>0.50344017452592715</v>
      </c>
    </row>
    <row r="43" spans="1:10" x14ac:dyDescent="0.3">
      <c r="A43">
        <v>2016</v>
      </c>
      <c r="B43">
        <f>unicount!B43/8592*1000</f>
        <v>0.58193668528864062</v>
      </c>
      <c r="C43">
        <f>unicount!C43/14108*1000</f>
        <v>0.85058123050751344</v>
      </c>
      <c r="D43">
        <f>unicount!D43/15420*1000</f>
        <v>0.64850843060959795</v>
      </c>
      <c r="E43">
        <f>unicount!E43/15627*1000</f>
        <v>0.57592628143597624</v>
      </c>
      <c r="F43">
        <f>unicount!F43/12998*1000</f>
        <v>1.000153869826127</v>
      </c>
      <c r="G43">
        <f>unicount!G43/19116*1000</f>
        <v>0.47080979284369112</v>
      </c>
      <c r="H43">
        <f>unicount!H43/1572*1000</f>
        <v>10.178117048346056</v>
      </c>
      <c r="I43">
        <f>unicount!I43/19096*1000</f>
        <v>0.94260578131545869</v>
      </c>
      <c r="J43">
        <f>unicount!J43/23836*1000</f>
        <v>0.50344017452592715</v>
      </c>
    </row>
    <row r="44" spans="1:10" x14ac:dyDescent="0.3">
      <c r="A44">
        <v>2017</v>
      </c>
      <c r="B44">
        <f>unicount!B44/8592*1000</f>
        <v>0.58193668528864062</v>
      </c>
      <c r="C44">
        <f>unicount!C44/14108*1000</f>
        <v>0.85058123050751344</v>
      </c>
      <c r="D44">
        <f>unicount!D44/15420*1000</f>
        <v>0.71335927367055763</v>
      </c>
      <c r="E44">
        <f>unicount!E44/15627*1000</f>
        <v>0.57592628143597624</v>
      </c>
      <c r="F44">
        <f>unicount!F44/12998*1000</f>
        <v>1.000153869826127</v>
      </c>
      <c r="G44">
        <f>unicount!G44/19116*1000</f>
        <v>0.47080979284369112</v>
      </c>
      <c r="H44">
        <f>unicount!H44/1572*1000</f>
        <v>10.178117048346056</v>
      </c>
      <c r="I44">
        <f>unicount!I44/19096*1000</f>
        <v>0.94260578131545869</v>
      </c>
      <c r="J44">
        <f>unicount!J44/23836*1000</f>
        <v>0.50344017452592715</v>
      </c>
    </row>
    <row r="45" spans="1:10" x14ac:dyDescent="0.3">
      <c r="A45">
        <v>2018</v>
      </c>
      <c r="B45">
        <f>unicount!B45/8592*1000</f>
        <v>0.58193668528864062</v>
      </c>
      <c r="C45">
        <f>unicount!C45/14108*1000</f>
        <v>0.85058123050751344</v>
      </c>
      <c r="D45">
        <f>unicount!D45/15420*1000</f>
        <v>0.71335927367055763</v>
      </c>
      <c r="E45">
        <f>unicount!E45/15627*1000</f>
        <v>0.57592628143597624</v>
      </c>
      <c r="F45">
        <f>unicount!F45/12998*1000</f>
        <v>1.000153869826127</v>
      </c>
      <c r="G45">
        <f>unicount!G45/19116*1000</f>
        <v>0.47080979284369112</v>
      </c>
      <c r="H45">
        <f>unicount!H45/1572*1000</f>
        <v>10.814249363867685</v>
      </c>
      <c r="I45">
        <f>unicount!I45/19096*1000</f>
        <v>0.94260578131545869</v>
      </c>
      <c r="J45">
        <f>unicount!J45/23836*1000</f>
        <v>0.54539352240308769</v>
      </c>
    </row>
    <row r="46" spans="1:10" x14ac:dyDescent="0.3">
      <c r="A46">
        <v>2019</v>
      </c>
      <c r="B46">
        <f>unicount!B46/8592*1000</f>
        <v>0.58193668528864062</v>
      </c>
      <c r="C46">
        <f>unicount!C46/14108*1000</f>
        <v>0.85058123050751344</v>
      </c>
      <c r="D46">
        <f>unicount!D46/15420*1000</f>
        <v>0.71335927367055763</v>
      </c>
      <c r="E46">
        <f>unicount!E46/15627*1000</f>
        <v>0.57592628143597624</v>
      </c>
      <c r="F46">
        <f>unicount!F46/12998*1000</f>
        <v>1.000153869826127</v>
      </c>
      <c r="G46">
        <f>unicount!G46/19116*1000</f>
        <v>0.47080979284369112</v>
      </c>
      <c r="H46">
        <f>unicount!H46/1572*1000</f>
        <v>11.450381679389313</v>
      </c>
      <c r="I46">
        <f>unicount!I46/19096*1000</f>
        <v>0.94260578131545869</v>
      </c>
      <c r="J46">
        <f>unicount!J46/23836*1000</f>
        <v>0.54539352240308769</v>
      </c>
    </row>
    <row r="47" spans="1:10" x14ac:dyDescent="0.3">
      <c r="A47">
        <v>2020</v>
      </c>
      <c r="B47">
        <f>unicount!B47/8592*1000</f>
        <v>0.58193668528864062</v>
      </c>
      <c r="C47">
        <f>unicount!C47/14108*1000</f>
        <v>0.85058123050751344</v>
      </c>
      <c r="D47">
        <f>unicount!D47/15420*1000</f>
        <v>0.71335927367055763</v>
      </c>
      <c r="E47">
        <f>unicount!E47/15627*1000</f>
        <v>0.57592628143597624</v>
      </c>
      <c r="F47">
        <f>unicount!F47/12998*1000</f>
        <v>1.000153869826127</v>
      </c>
      <c r="G47">
        <f>unicount!G47/19116*1000</f>
        <v>0.47080979284369112</v>
      </c>
      <c r="H47">
        <f>unicount!H47/1572*1000</f>
        <v>11.450381679389313</v>
      </c>
      <c r="I47">
        <f>unicount!I47/19096*1000</f>
        <v>0.94260578131545869</v>
      </c>
      <c r="J47">
        <f>unicount!J47/23836*1000</f>
        <v>0.54539352240308769</v>
      </c>
    </row>
    <row r="48" spans="1:10" x14ac:dyDescent="0.3">
      <c r="A48">
        <v>2021</v>
      </c>
      <c r="B48">
        <f>unicount!B48/8592*1000</f>
        <v>0.58193668528864062</v>
      </c>
      <c r="C48">
        <f>unicount!C48/14108*1000</f>
        <v>0.85058123050751344</v>
      </c>
      <c r="D48">
        <f>unicount!D48/15420*1000</f>
        <v>0.71335927367055763</v>
      </c>
      <c r="E48">
        <f>unicount!E48/15627*1000</f>
        <v>0.57592628143597624</v>
      </c>
      <c r="F48">
        <f>unicount!F48/12998*1000</f>
        <v>1.000153869826127</v>
      </c>
      <c r="G48">
        <f>unicount!G48/19116*1000</f>
        <v>0.47080979284369112</v>
      </c>
      <c r="H48">
        <f>unicount!H48/1572*1000</f>
        <v>11.450381679389313</v>
      </c>
      <c r="I48">
        <f>unicount!I48/19096*1000</f>
        <v>0.94260578131545869</v>
      </c>
      <c r="J48">
        <f>unicount!J48/23836*1000</f>
        <v>0.54539352240308769</v>
      </c>
    </row>
    <row r="49" spans="1:10" x14ac:dyDescent="0.3">
      <c r="A49">
        <v>2022</v>
      </c>
      <c r="B49">
        <f>unicount!B49/8592*1000</f>
        <v>0.58193668528864062</v>
      </c>
      <c r="C49">
        <f>unicount!C49/14108*1000</f>
        <v>0.85058123050751344</v>
      </c>
      <c r="D49">
        <f>unicount!D49/15420*1000</f>
        <v>0.71335927367055763</v>
      </c>
      <c r="E49">
        <f>unicount!E49/15627*1000</f>
        <v>0.57592628143597624</v>
      </c>
      <c r="F49">
        <f>unicount!F49/12998*1000</f>
        <v>1.000153869826127</v>
      </c>
      <c r="G49">
        <f>unicount!G49/19116*1000</f>
        <v>0.47080979284369112</v>
      </c>
      <c r="H49">
        <f>unicount!H49/1572*1000</f>
        <v>13.358778625954198</v>
      </c>
      <c r="I49">
        <f>unicount!I49/19096*1000</f>
        <v>1.0473397570171763</v>
      </c>
      <c r="J49">
        <f>unicount!J49/23836*1000</f>
        <v>0.58734687028024835</v>
      </c>
    </row>
    <row r="50" spans="1:10" x14ac:dyDescent="0.3">
      <c r="A50">
        <v>2023</v>
      </c>
      <c r="B50">
        <f>unicount!B50/8592*1000</f>
        <v>0.58193668528864062</v>
      </c>
      <c r="C50">
        <f>unicount!C50/14108*1000</f>
        <v>0.85058123050751344</v>
      </c>
      <c r="D50">
        <f>unicount!D50/15420*1000</f>
        <v>0.71335927367055763</v>
      </c>
      <c r="E50">
        <f>unicount!E50/15627*1000</f>
        <v>0.57592628143597624</v>
      </c>
      <c r="F50">
        <f>unicount!F50/12998*1000</f>
        <v>1.000153869826127</v>
      </c>
      <c r="G50">
        <f>unicount!G50/19116*1000</f>
        <v>0.47080979284369112</v>
      </c>
      <c r="H50">
        <f>unicount!H50/1572*1000</f>
        <v>17.811704834605596</v>
      </c>
      <c r="I50">
        <f>unicount!I50/19096*1000</f>
        <v>1.0473397570171763</v>
      </c>
      <c r="J50">
        <f>unicount!J50/23836*1000</f>
        <v>0.58734687028024835</v>
      </c>
    </row>
    <row r="51" spans="1:10" x14ac:dyDescent="0.3">
      <c r="A51">
        <v>2024</v>
      </c>
      <c r="B51">
        <f>unicount!B51/8592*1000</f>
        <v>0.58193668528864062</v>
      </c>
      <c r="C51">
        <f>unicount!C51/14108*1000</f>
        <v>0.85058123050751344</v>
      </c>
      <c r="D51">
        <f>unicount!D51/15420*1000</f>
        <v>0.71335927367055763</v>
      </c>
      <c r="E51">
        <f>unicount!E51/15627*1000</f>
        <v>0.57592628143597624</v>
      </c>
      <c r="F51">
        <f>unicount!F51/12998*1000</f>
        <v>1.000153869826127</v>
      </c>
      <c r="G51">
        <f>unicount!G51/19116*1000</f>
        <v>0.47080979284369112</v>
      </c>
      <c r="H51">
        <f>unicount!H51/1572*1000</f>
        <v>17.811704834605596</v>
      </c>
      <c r="I51">
        <f>unicount!I51/19096*1000</f>
        <v>1.0473397570171763</v>
      </c>
      <c r="J51">
        <f>unicount!J51/23836*1000</f>
        <v>0.629300218157409</v>
      </c>
    </row>
    <row r="52" spans="1:10" x14ac:dyDescent="0.3">
      <c r="A52">
        <v>2025</v>
      </c>
      <c r="B52">
        <f>unicount!B52/8592*1000</f>
        <v>0.58193668528864062</v>
      </c>
      <c r="C52">
        <f>unicount!C52/14108*1000</f>
        <v>0.85058123050751344</v>
      </c>
      <c r="D52">
        <f>unicount!D52/15420*1000</f>
        <v>0.71335927367055763</v>
      </c>
      <c r="E52">
        <f>unicount!E52/15627*1000</f>
        <v>0.57592628143597624</v>
      </c>
      <c r="F52">
        <f>unicount!F52/12998*1000</f>
        <v>1.000153869826127</v>
      </c>
      <c r="G52">
        <f>unicount!G52/19116*1000</f>
        <v>0.47080979284369112</v>
      </c>
      <c r="H52">
        <f>unicount!H52/1572*1000</f>
        <v>17.811704834605596</v>
      </c>
      <c r="I52">
        <f>unicount!I52/19096*1000</f>
        <v>1.0473397570171763</v>
      </c>
      <c r="J52">
        <f>unicount!J52/23836*1000</f>
        <v>0.629300218157409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2A50-C455-43B1-92A7-811A8F58B95F}">
  <dimension ref="A1:K52"/>
  <sheetViews>
    <sheetView workbookViewId="0">
      <selection activeCell="B2" sqref="B2"/>
    </sheetView>
  </sheetViews>
  <sheetFormatPr defaultRowHeight="14.4" x14ac:dyDescent="0.3"/>
  <sheetData>
    <row r="1" spans="1:10" x14ac:dyDescent="0.3">
      <c r="A1" s="1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</v>
      </c>
      <c r="I1" s="1" t="s">
        <v>7</v>
      </c>
      <c r="J1" s="1" t="s">
        <v>8</v>
      </c>
    </row>
    <row r="2" spans="1:10" x14ac:dyDescent="0.3">
      <c r="A2">
        <v>1975</v>
      </c>
      <c r="B2">
        <f>unicount!B2/pop!B2*100000-pop!$K2</f>
        <v>3.6708313440708684E-3</v>
      </c>
      <c r="C2">
        <f>unicount!C2/pop!C2*100000-pop!$K2</f>
        <v>-1.4629267377988468E-2</v>
      </c>
      <c r="D2">
        <f>unicount!D2/pop!D2*100000-pop!$K2</f>
        <v>2.9308551687254755E-2</v>
      </c>
      <c r="E2">
        <f>unicount!E2/pop!E2*100000-pop!$K2</f>
        <v>5.1715165740931907E-3</v>
      </c>
      <c r="F2">
        <f>unicount!F2/pop!F2*100000-pop!$K2</f>
        <v>4.619498433467123E-3</v>
      </c>
      <c r="G2">
        <f>unicount!G2/pop!G2*100000-pop!$K2</f>
        <v>-1.1244474229014374E-2</v>
      </c>
      <c r="H2">
        <f>unicount!H2/pop!H2*100000-pop!$K2</f>
        <v>-2.8232082159922928E-2</v>
      </c>
      <c r="I2">
        <f>unicount!I2/pop!I2*100000-pop!$K2</f>
        <v>2.3346725241787603E-2</v>
      </c>
      <c r="J2">
        <f>unicount!J2/pop!J2*100000-pop!$K2</f>
        <v>-4.7128578299578672E-3</v>
      </c>
    </row>
    <row r="3" spans="1:10" x14ac:dyDescent="0.3">
      <c r="A3">
        <v>1976</v>
      </c>
      <c r="B3">
        <f>unicount!B3/pop!B3*100000-pop!$K3</f>
        <v>3.5900169615887961E-3</v>
      </c>
      <c r="C3">
        <f>unicount!C3/pop!C3*100000-pop!$K3</f>
        <v>-1.4698832384535718E-2</v>
      </c>
      <c r="D3">
        <f>unicount!D3/pop!D3*100000-pop!$K3</f>
        <v>2.9253230934036825E-2</v>
      </c>
      <c r="E3">
        <f>unicount!E3/pop!E3*100000-pop!$K3</f>
        <v>5.1743530102779101E-3</v>
      </c>
      <c r="F3">
        <f>unicount!F3/pop!F3*100000-pop!$K3</f>
        <v>4.5898998795595725E-3</v>
      </c>
      <c r="G3">
        <f>unicount!G3/pop!G3*100000-pop!$K3</f>
        <v>-1.1185336896040843E-2</v>
      </c>
      <c r="H3">
        <f>unicount!H3/pop!H3*100000-pop!$K3</f>
        <v>-2.8249043595968762E-2</v>
      </c>
      <c r="I3">
        <f>unicount!I3/pop!I3*100000-pop!$K3</f>
        <v>2.3449097140217715E-2</v>
      </c>
      <c r="J3">
        <f>unicount!J3/pop!J3*100000-pop!$K3</f>
        <v>-4.6344810402362407E-3</v>
      </c>
    </row>
    <row r="4" spans="1:10" x14ac:dyDescent="0.3">
      <c r="A4">
        <v>1977</v>
      </c>
      <c r="B4">
        <f>unicount!B4/pop!B4*100000-pop!$K4</f>
        <v>3.5796129009443151E-3</v>
      </c>
      <c r="C4">
        <f>unicount!C4/pop!C4*100000-pop!$K4</f>
        <v>-1.4711561004273406E-2</v>
      </c>
      <c r="D4">
        <f>unicount!D4/pop!D4*100000-pop!$K4</f>
        <v>2.9246224808096535E-2</v>
      </c>
      <c r="E4">
        <f>unicount!E4/pop!E4*100000-pop!$K4</f>
        <v>5.1868653800584974E-3</v>
      </c>
      <c r="F4">
        <f>unicount!F4/pop!F4*100000-pop!$K4</f>
        <v>4.5834227568695013E-3</v>
      </c>
      <c r="G4">
        <f>unicount!G4/pop!G4*100000-pop!$K4</f>
        <v>-1.1174066202950118E-2</v>
      </c>
      <c r="H4">
        <f>unicount!H4/pop!H4*100000-pop!$K4</f>
        <v>-2.8264099258260407E-2</v>
      </c>
      <c r="I4">
        <f>unicount!I4/pop!I4*100000-pop!$K4</f>
        <v>2.3467298123498195E-2</v>
      </c>
      <c r="J4">
        <f>unicount!J4/pop!J4*100000-pop!$K4</f>
        <v>-4.6111262401490744E-3</v>
      </c>
    </row>
    <row r="5" spans="1:10" x14ac:dyDescent="0.3">
      <c r="A5">
        <v>1978</v>
      </c>
      <c r="B5">
        <f>unicount!B5/pop!B5*100000-pop!$K5</f>
        <v>3.6161434068719411E-3</v>
      </c>
      <c r="C5">
        <f>unicount!C5/pop!C5*100000-pop!$K5</f>
        <v>-1.4675871294785162E-2</v>
      </c>
      <c r="D5">
        <f>unicount!D5/pop!D5*100000-pop!$K5</f>
        <v>2.9265252646194603E-2</v>
      </c>
      <c r="E5">
        <f>unicount!E5/pop!E5*100000-pop!$K5</f>
        <v>5.1889056814687917E-3</v>
      </c>
      <c r="F5">
        <f>unicount!F5/pop!F5*100000-pop!$K5</f>
        <v>4.598051092360847E-3</v>
      </c>
      <c r="G5">
        <f>unicount!G5/pop!G5*100000-pop!$K5</f>
        <v>-1.1215773301885307E-2</v>
      </c>
      <c r="H5">
        <f>unicount!H5/pop!H5*100000-pop!$K5</f>
        <v>-2.8254019537399158E-2</v>
      </c>
      <c r="I5">
        <f>unicount!I5/pop!I5*100000-pop!$K5</f>
        <v>2.3426478260460251E-2</v>
      </c>
      <c r="J5">
        <f>unicount!J5/pop!J5*100000-pop!$K5</f>
        <v>-4.6518376933304684E-3</v>
      </c>
    </row>
    <row r="6" spans="1:10" x14ac:dyDescent="0.3">
      <c r="A6">
        <v>1979</v>
      </c>
      <c r="B6">
        <f>unicount!B6/pop!B6*100000-pop!$K6</f>
        <v>3.7084769416888402E-3</v>
      </c>
      <c r="C6">
        <f>unicount!C6/pop!C6*100000-pop!$K6</f>
        <v>-1.4592529379886955E-2</v>
      </c>
      <c r="D6">
        <f>unicount!D6/pop!D6*100000-pop!$K6</f>
        <v>2.9333108455115164E-2</v>
      </c>
      <c r="E6">
        <f>unicount!E6/pop!E6*100000-pop!$K6</f>
        <v>5.1754377499598492E-3</v>
      </c>
      <c r="F6">
        <f>unicount!F6/pop!F6*100000-pop!$K6</f>
        <v>4.6372694687083355E-3</v>
      </c>
      <c r="G6">
        <f>unicount!G6/pop!G6*100000-pop!$K6</f>
        <v>-1.1277704509018271E-2</v>
      </c>
      <c r="H6">
        <f>unicount!H6/pop!H6*100000-pop!$K6</f>
        <v>-2.8221982202963819E-2</v>
      </c>
      <c r="I6">
        <f>unicount!I6/pop!I6*100000-pop!$K6</f>
        <v>2.3291233709927237E-2</v>
      </c>
      <c r="J6">
        <f>unicount!J6/pop!J6*100000-pop!$K6</f>
        <v>-4.7565344047455632E-3</v>
      </c>
    </row>
    <row r="7" spans="1:10" x14ac:dyDescent="0.3">
      <c r="A7">
        <v>1980</v>
      </c>
      <c r="B7">
        <f>unicount!B7/pop!B7*100000-pop!$K7</f>
        <v>3.8602087647503364E-3</v>
      </c>
      <c r="C7">
        <f>unicount!C7/pop!C7*100000-pop!$K7</f>
        <v>-1.4467285368773335E-2</v>
      </c>
      <c r="D7">
        <f>unicount!D7/pop!D7*100000-pop!$K7</f>
        <v>2.9444972962255248E-2</v>
      </c>
      <c r="E7">
        <f>unicount!E7/pop!E7*100000-pop!$K7</f>
        <v>5.132125487913114E-3</v>
      </c>
      <c r="F7">
        <f>unicount!F7/pop!F7*100000-pop!$K7</f>
        <v>4.6887919389551475E-3</v>
      </c>
      <c r="G7">
        <f>unicount!G7/pop!G7*100000-pop!$K7</f>
        <v>-1.1368710396783242E-2</v>
      </c>
      <c r="H7">
        <f>unicount!H7/pop!H7*100000-pop!$K7</f>
        <v>-2.8171329898827299E-2</v>
      </c>
      <c r="I7">
        <f>unicount!I7/pop!I7*100000-pop!$K7</f>
        <v>2.3100928983522617E-2</v>
      </c>
      <c r="J7">
        <f>unicount!J7/pop!J7*100000-pop!$K7</f>
        <v>-4.9089186983668348E-3</v>
      </c>
    </row>
    <row r="8" spans="1:10" x14ac:dyDescent="0.3">
      <c r="A8">
        <v>1981</v>
      </c>
      <c r="B8">
        <f>unicount!B8/pop!B8*100000-pop!$K8</f>
        <v>3.1876990477705675E-3</v>
      </c>
      <c r="C8">
        <f>unicount!C8/pop!C8*100000-pop!$K8</f>
        <v>-1.5045054658674895E-2</v>
      </c>
      <c r="D8">
        <f>unicount!D8/pop!D8*100000-pop!$K8</f>
        <v>2.8977096306045669E-2</v>
      </c>
      <c r="E8">
        <f>unicount!E8/pop!E8*100000-pop!$K8</f>
        <v>5.1885615941364427E-3</v>
      </c>
      <c r="F8">
        <f>unicount!F8/pop!F8*100000-pop!$K8</f>
        <v>4.4419526994255581E-3</v>
      </c>
      <c r="G8">
        <f>unicount!G8/pop!G8*100000-pop!$K8</f>
        <v>-1.0887182699226124E-2</v>
      </c>
      <c r="H8">
        <f>unicount!H8/pop!H8*100000-pop!$K8</f>
        <v>-2.8333904188759126E-2</v>
      </c>
      <c r="I8">
        <f>unicount!I8/pop!I8*100000-pop!$K8</f>
        <v>2.3965051151204259E-2</v>
      </c>
      <c r="J8">
        <f>unicount!J8/pop!J8*100000-pop!$K8</f>
        <v>-4.2389780215179584E-3</v>
      </c>
    </row>
    <row r="9" spans="1:10" x14ac:dyDescent="0.3">
      <c r="A9">
        <v>1982</v>
      </c>
      <c r="B9">
        <f>unicount!B9/pop!B9*100000-pop!$K9</f>
        <v>3.5275387975333278E-3</v>
      </c>
      <c r="C9">
        <f>unicount!C9/pop!C9*100000-pop!$K9</f>
        <v>-1.477525749344559E-2</v>
      </c>
      <c r="D9">
        <f>unicount!D9/pop!D9*100000-pop!$K9</f>
        <v>2.9211145769762609E-2</v>
      </c>
      <c r="E9">
        <f>unicount!E9/pop!E9*100000-pop!$K9</f>
        <v>5.2495948313347196E-3</v>
      </c>
      <c r="F9">
        <f>unicount!F9/pop!F9*100000-pop!$K9</f>
        <v>4.550992533777512E-3</v>
      </c>
      <c r="G9">
        <f>unicount!G9/pop!G9*100000-pop!$K9</f>
        <v>-1.1117514334419133E-2</v>
      </c>
      <c r="H9">
        <f>unicount!H9/pop!H9*100000-pop!$K9</f>
        <v>-2.8339423030106461E-2</v>
      </c>
      <c r="I9">
        <f>unicount!I9/pop!I9*100000-pop!$K9</f>
        <v>2.3558523843522652E-2</v>
      </c>
      <c r="J9">
        <f>unicount!J9/pop!J9*100000-pop!$K9</f>
        <v>-4.4938704350909603E-3</v>
      </c>
    </row>
    <row r="10" spans="1:10" x14ac:dyDescent="0.3">
      <c r="A10">
        <v>1983</v>
      </c>
      <c r="B10">
        <f>unicount!B10/pop!B10*100000-pop!$K10</f>
        <v>1.6631995889368478E-3</v>
      </c>
      <c r="C10">
        <f>unicount!C10/pop!C10*100000-pop!$K10</f>
        <v>-1.6632882653329871E-2</v>
      </c>
      <c r="D10">
        <f>unicount!D10/pop!D10*100000-pop!$K10</f>
        <v>2.7224373046291286E-2</v>
      </c>
      <c r="E10">
        <f>unicount!E10/pop!E10*100000-pop!$K10</f>
        <v>3.0629818845531592E-3</v>
      </c>
      <c r="F10">
        <f>unicount!F10/pop!F10*100000-pop!$K10</f>
        <v>2.5351505084557913E-3</v>
      </c>
      <c r="G10">
        <f>unicount!G10/pop!G10*100000-pop!$K10</f>
        <v>-1.3559595515233329E-2</v>
      </c>
      <c r="H10">
        <f>unicount!H10/pop!H10*100000-pop!$K10</f>
        <v>-3.0339677297597963E-2</v>
      </c>
      <c r="I10">
        <f>unicount!I10/pop!I10*100000-pop!$K10</f>
        <v>3.477979820806433E-2</v>
      </c>
      <c r="J10">
        <f>unicount!J10/pop!J10*100000-pop!$K10</f>
        <v>-6.9907984281722818E-3</v>
      </c>
    </row>
    <row r="11" spans="1:10" x14ac:dyDescent="0.3">
      <c r="A11">
        <v>1984</v>
      </c>
      <c r="B11">
        <f>unicount!B11/pop!B11*100000-pop!$K11</f>
        <v>2.0400183042412062E-3</v>
      </c>
      <c r="C11">
        <f>unicount!C11/pop!C11*100000-pop!$K11</f>
        <v>-1.6305970028524984E-2</v>
      </c>
      <c r="D11">
        <f>unicount!D11/pop!D11*100000-pop!$K11</f>
        <v>2.7541022529250489E-2</v>
      </c>
      <c r="E11">
        <f>unicount!E11/pop!E11*100000-pop!$K11</f>
        <v>2.9767824867866916E-3</v>
      </c>
      <c r="F11">
        <f>unicount!F11/pop!F11*100000-pop!$K11</f>
        <v>2.7015388682571084E-3</v>
      </c>
      <c r="G11">
        <f>unicount!G11/pop!G11*100000-pop!$K11</f>
        <v>-1.3715557504622403E-2</v>
      </c>
      <c r="H11">
        <f>unicount!H11/pop!H11*100000-pop!$K11</f>
        <v>-3.0193662443964306E-2</v>
      </c>
      <c r="I11">
        <f>unicount!I11/pop!I11*100000-pop!$K11</f>
        <v>3.4076561859348986E-2</v>
      </c>
      <c r="J11">
        <f>unicount!J11/pop!J11*100000-pop!$K11</f>
        <v>-7.4045153688113291E-3</v>
      </c>
    </row>
    <row r="12" spans="1:10" x14ac:dyDescent="0.3">
      <c r="A12">
        <v>1985</v>
      </c>
      <c r="B12">
        <f>unicount!B12/pop!B12*100000-pop!$K12</f>
        <v>2.4958242343461612E-3</v>
      </c>
      <c r="C12">
        <f>unicount!C12/pop!C12*100000-pop!$K12</f>
        <v>-1.596522972191719E-2</v>
      </c>
      <c r="D12">
        <f>unicount!D12/pop!D12*100000-pop!$K12</f>
        <v>2.7878656522434833E-2</v>
      </c>
      <c r="E12">
        <f>unicount!E12/pop!E12*100000-pop!$K12</f>
        <v>2.7930635896229461E-3</v>
      </c>
      <c r="F12">
        <f>unicount!F12/pop!F12*100000-pop!$K12</f>
        <v>2.819946094589118E-3</v>
      </c>
      <c r="G12">
        <f>unicount!G12/pop!G12*100000-pop!$K12</f>
        <v>-1.3939405802186867E-2</v>
      </c>
      <c r="H12">
        <f>unicount!H12/pop!H12*100000-pop!$K12</f>
        <v>-3.0044503572928823E-2</v>
      </c>
      <c r="I12">
        <f>unicount!I12/pop!I12*100000-pop!$K12</f>
        <v>3.3530536835623515E-2</v>
      </c>
      <c r="J12">
        <f>unicount!J12/pop!J12*100000-pop!$K12</f>
        <v>-7.777943013478214E-3</v>
      </c>
    </row>
    <row r="13" spans="1:10" x14ac:dyDescent="0.3">
      <c r="A13">
        <v>1986</v>
      </c>
      <c r="B13">
        <f>unicount!B13/pop!B13*100000-pop!$K13</f>
        <v>2.9227112165464975E-3</v>
      </c>
      <c r="C13">
        <f>unicount!C13/pop!C13*100000-pop!$K13</f>
        <v>-1.5629778085387895E-2</v>
      </c>
      <c r="D13">
        <f>unicount!D13/pop!D13*100000-pop!$K13</f>
        <v>2.8210814139305262E-2</v>
      </c>
      <c r="E13">
        <f>unicount!E13/pop!E13*100000-pop!$K13</f>
        <v>2.5973610956808169E-3</v>
      </c>
      <c r="F13">
        <f>unicount!F13/pop!F13*100000-pop!$K13</f>
        <v>3.0488619397742445E-3</v>
      </c>
      <c r="G13">
        <f>unicount!G13/pop!G13*100000-pop!$K13</f>
        <v>-1.4163175368872558E-2</v>
      </c>
      <c r="H13">
        <f>unicount!H13/pop!H13*100000-pop!$K13</f>
        <v>-2.9886301620955916E-2</v>
      </c>
      <c r="I13">
        <f>unicount!I13/pop!I13*100000-pop!$K13</f>
        <v>3.2947865725146963E-2</v>
      </c>
      <c r="J13">
        <f>unicount!J13/pop!J13*100000-pop!$K13</f>
        <v>-8.2032865396288873E-3</v>
      </c>
    </row>
    <row r="14" spans="1:10" x14ac:dyDescent="0.3">
      <c r="A14">
        <v>1987</v>
      </c>
      <c r="B14">
        <f>unicount!B14/pop!B14*100000-pop!$K14</f>
        <v>3.2315506359345686E-3</v>
      </c>
      <c r="C14">
        <f>unicount!C14/pop!C14*100000-pop!$K14</f>
        <v>-1.5349825346361555E-2</v>
      </c>
      <c r="D14">
        <f>unicount!D14/pop!D14*100000-pop!$K14</f>
        <v>2.8481749652052579E-2</v>
      </c>
      <c r="E14">
        <f>unicount!E14/pop!E14*100000-pop!$K14</f>
        <v>2.4322995413811471E-3</v>
      </c>
      <c r="F14">
        <f>unicount!F14/pop!F14*100000-pop!$K14</f>
        <v>3.0083701373613964E-3</v>
      </c>
      <c r="G14">
        <f>unicount!G14/pop!G14*100000-pop!$K14</f>
        <v>-1.4361967400240892E-2</v>
      </c>
      <c r="H14">
        <f>unicount!H14/pop!H14*100000-pop!$K14</f>
        <v>-2.9652869134375606E-2</v>
      </c>
      <c r="I14">
        <f>unicount!I14/pop!I14*100000-pop!$K14</f>
        <v>3.2599918607796527E-2</v>
      </c>
      <c r="J14">
        <f>unicount!J14/pop!J14*100000-pop!$K14</f>
        <v>-8.6299997279178087E-3</v>
      </c>
    </row>
    <row r="15" spans="1:10" x14ac:dyDescent="0.3">
      <c r="A15">
        <v>1988</v>
      </c>
      <c r="B15">
        <f>unicount!B15/pop!B15*100000-pop!$K15</f>
        <v>3.6303437673985417E-3</v>
      </c>
      <c r="C15">
        <f>unicount!C15/pop!C15*100000-pop!$K15</f>
        <v>-1.5097448904659118E-2</v>
      </c>
      <c r="D15">
        <f>unicount!D15/pop!D15*100000-pop!$K15</f>
        <v>2.8456007641289971E-2</v>
      </c>
      <c r="E15">
        <f>unicount!E15/pop!E15*100000-pop!$K15</f>
        <v>2.1153152257027824E-3</v>
      </c>
      <c r="F15">
        <f>unicount!F15/pop!F15*100000-pop!$K15</f>
        <v>3.0434358568131592E-3</v>
      </c>
      <c r="G15">
        <f>unicount!G15/pop!G15*100000-pop!$K15</f>
        <v>-1.4528329618464599E-2</v>
      </c>
      <c r="H15">
        <f>unicount!H15/pop!H15*100000-pop!$K15</f>
        <v>-2.9239519594012726E-2</v>
      </c>
      <c r="I15">
        <f>unicount!I15/pop!I15*100000-pop!$K15</f>
        <v>3.213204927406145E-2</v>
      </c>
      <c r="J15">
        <f>unicount!J15/pop!J15*100000-pop!$K15</f>
        <v>-9.1011910489037368E-3</v>
      </c>
    </row>
    <row r="16" spans="1:10" x14ac:dyDescent="0.3">
      <c r="A16">
        <v>1989</v>
      </c>
      <c r="B16">
        <f>unicount!B16/pop!B16*100000-pop!$K16</f>
        <v>3.8532877538386967E-3</v>
      </c>
      <c r="C16">
        <f>unicount!C16/pop!C16*100000-pop!$K16</f>
        <v>-1.4992231840060724E-2</v>
      </c>
      <c r="D16">
        <f>unicount!D16/pop!D16*100000-pop!$K16</f>
        <v>2.8181362043790584E-2</v>
      </c>
      <c r="E16">
        <f>unicount!E16/pop!E16*100000-pop!$K16</f>
        <v>1.8485908650161115E-3</v>
      </c>
      <c r="F16">
        <f>unicount!F16/pop!F16*100000-pop!$K16</f>
        <v>3.1197184352835389E-3</v>
      </c>
      <c r="G16">
        <f>unicount!G16/pop!G16*100000-pop!$K16</f>
        <v>-1.4432580835670637E-2</v>
      </c>
      <c r="H16">
        <f>unicount!H16/pop!H16*100000-pop!$K16</f>
        <v>-2.9168464226089118E-2</v>
      </c>
      <c r="I16">
        <f>unicount!I16/pop!I16*100000-pop!$K16</f>
        <v>3.2098244487480151E-2</v>
      </c>
      <c r="J16">
        <f>unicount!J16/pop!J16*100000-pop!$K16</f>
        <v>-9.1355476793203161E-3</v>
      </c>
    </row>
    <row r="17" spans="1:10" x14ac:dyDescent="0.3">
      <c r="A17">
        <v>1990</v>
      </c>
      <c r="B17">
        <f>unicount!B17/pop!B17*100000-pop!$K17</f>
        <v>4.0131750228046131E-3</v>
      </c>
      <c r="C17">
        <f>unicount!C17/pop!C17*100000-pop!$K17</f>
        <v>-1.4806262871531618E-2</v>
      </c>
      <c r="D17">
        <f>unicount!D17/pop!D17*100000-pop!$K17</f>
        <v>2.8228164735772374E-2</v>
      </c>
      <c r="E17">
        <f>unicount!E17/pop!E17*100000-pop!$K17</f>
        <v>1.7553097656478195E-3</v>
      </c>
      <c r="F17">
        <f>unicount!F17/pop!F17*100000-pop!$K17</f>
        <v>3.2751519594010764E-3</v>
      </c>
      <c r="G17">
        <f>unicount!G17/pop!G17*100000-pop!$K17</f>
        <v>-1.4413917389314079E-2</v>
      </c>
      <c r="H17">
        <f>unicount!H17/pop!H17*100000-pop!$K17</f>
        <v>-2.9251097143565004E-2</v>
      </c>
      <c r="I17">
        <f>unicount!I17/pop!I17*100000-pop!$K17</f>
        <v>3.1913454227569679E-2</v>
      </c>
      <c r="J17">
        <f>unicount!J17/pop!J17*100000-pop!$K17</f>
        <v>-9.1118717002390548E-3</v>
      </c>
    </row>
    <row r="18" spans="1:10" x14ac:dyDescent="0.3">
      <c r="A18">
        <v>1991</v>
      </c>
      <c r="B18">
        <f>unicount!B18/pop!B18*100000-pop!$K18</f>
        <v>4.2030472630642524E-3</v>
      </c>
      <c r="C18">
        <f>unicount!C18/pop!C18*100000-pop!$K18</f>
        <v>-1.4653434813001701E-2</v>
      </c>
      <c r="D18">
        <f>unicount!D18/pop!D18*100000-pop!$K18</f>
        <v>2.8187548113858152E-2</v>
      </c>
      <c r="E18">
        <f>unicount!E18/pop!E18*100000-pop!$K18</f>
        <v>1.679656215443151E-3</v>
      </c>
      <c r="F18">
        <f>unicount!F18/pop!F18*100000-pop!$K18</f>
        <v>3.3792413824681039E-3</v>
      </c>
      <c r="G18">
        <f>unicount!G18/pop!G18*100000-pop!$K18</f>
        <v>-1.4525282873389403E-2</v>
      </c>
      <c r="H18">
        <f>unicount!H18/pop!H18*100000-pop!$K18</f>
        <v>-2.9178718739101037E-2</v>
      </c>
      <c r="I18">
        <f>unicount!I18/pop!I18*100000-pop!$K18</f>
        <v>3.1753469948027746E-2</v>
      </c>
      <c r="J18">
        <f>unicount!J18/pop!J18*100000-pop!$K18</f>
        <v>-9.1172072259069759E-3</v>
      </c>
    </row>
    <row r="19" spans="1:10" x14ac:dyDescent="0.3">
      <c r="A19">
        <v>1992</v>
      </c>
      <c r="B19">
        <f>unicount!B19/pop!B19*100000-pop!$K19</f>
        <v>5.1278237282619848E-2</v>
      </c>
      <c r="C19">
        <f>unicount!C19/pop!C19*100000-pop!$K19</f>
        <v>-3.9348861545070182E-2</v>
      </c>
      <c r="D19">
        <f>unicount!D19/pop!D19*100000-pop!$K19</f>
        <v>4.018105819828563E-2</v>
      </c>
      <c r="E19">
        <f>unicount!E19/pop!E19*100000-pop!$K19</f>
        <v>6.9639443006837554E-3</v>
      </c>
      <c r="F19">
        <f>unicount!F19/pop!F19*100000-pop!$K19</f>
        <v>1.1075626230580171E-2</v>
      </c>
      <c r="G19">
        <f>unicount!G19/pop!G19*100000-pop!$K19</f>
        <v>-4.4445357839416583E-2</v>
      </c>
      <c r="H19">
        <f>unicount!H19/pop!H19*100000-pop!$K19</f>
        <v>1.939548419302059E-2</v>
      </c>
      <c r="I19">
        <f>unicount!I19/pop!I19*100000-pop!$K19</f>
        <v>1.9943649562517152E-3</v>
      </c>
      <c r="J19">
        <f>unicount!J19/pop!J19*100000-pop!$K19</f>
        <v>-1.4390075069067587E-2</v>
      </c>
    </row>
    <row r="20" spans="1:10" x14ac:dyDescent="0.3">
      <c r="A20">
        <v>1993</v>
      </c>
      <c r="B20">
        <f>unicount!B20/pop!B20*100000-pop!$K20</f>
        <v>4.7233240266445348E-2</v>
      </c>
      <c r="C20">
        <f>unicount!C20/pop!C20*100000-pop!$K20</f>
        <v>-4.3284691997565752E-2</v>
      </c>
      <c r="D20">
        <f>unicount!D20/pop!D20*100000-pop!$K20</f>
        <v>3.6143039879080602E-2</v>
      </c>
      <c r="E20">
        <f>unicount!E20/pop!E20*100000-pop!$K20</f>
        <v>2.4097670913074687E-3</v>
      </c>
      <c r="F20">
        <f>unicount!F20/pop!F20*100000-pop!$K20</f>
        <v>6.9760459907802219E-3</v>
      </c>
      <c r="G20">
        <f>unicount!G20/pop!G20*100000-pop!$K20</f>
        <v>-2.9117028251157903E-2</v>
      </c>
      <c r="H20">
        <f>unicount!H20/pop!H20*100000-pop!$K20</f>
        <v>2.9800353222901199E-2</v>
      </c>
      <c r="I20">
        <f>unicount!I20/pop!I20*100000-pop!$K20</f>
        <v>-2.1665098992176279E-3</v>
      </c>
      <c r="J20">
        <f>unicount!J20/pop!J20*100000-pop!$K20</f>
        <v>-1.8770617642647008E-2</v>
      </c>
    </row>
    <row r="21" spans="1:10" x14ac:dyDescent="0.3">
      <c r="A21">
        <v>1994</v>
      </c>
      <c r="B21">
        <f>unicount!B21/pop!B21*100000-pop!$K21</f>
        <v>4.5935049283032658E-2</v>
      </c>
      <c r="C21">
        <f>unicount!C21/pop!C21*100000-pop!$K21</f>
        <v>-3.0237191965417229E-2</v>
      </c>
      <c r="D21">
        <f>unicount!D21/pop!D21*100000-pop!$K21</f>
        <v>3.4233430133792681E-2</v>
      </c>
      <c r="E21">
        <f>unicount!E21/pop!E21*100000-pop!$K21</f>
        <v>1.4287322573711125E-4</v>
      </c>
      <c r="F21">
        <f>unicount!F21/pop!F21*100000-pop!$K21</f>
        <v>5.1864176087533242E-3</v>
      </c>
      <c r="G21">
        <f>unicount!G21/pop!G21*100000-pop!$K21</f>
        <v>-3.1338242761986893E-2</v>
      </c>
      <c r="H21">
        <f>unicount!H21/pop!H21*100000-pop!$K21</f>
        <v>2.7367859611272305E-2</v>
      </c>
      <c r="I21">
        <f>unicount!I21/pop!I21*100000-pop!$K21</f>
        <v>-4.572635893833582E-3</v>
      </c>
      <c r="J21">
        <f>unicount!J21/pop!J21*100000-pop!$K21</f>
        <v>-2.1087154398469476E-2</v>
      </c>
    </row>
    <row r="22" spans="1:10" x14ac:dyDescent="0.3">
      <c r="A22">
        <v>1995</v>
      </c>
      <c r="B22">
        <f>unicount!B22/pop!B22*100000-pop!$K22</f>
        <v>4.6850365324250492E-2</v>
      </c>
      <c r="C22">
        <f>unicount!C22/pop!C22*100000-pop!$K22</f>
        <v>-2.9578713745707516E-2</v>
      </c>
      <c r="D22">
        <f>unicount!D22/pop!D22*100000-pop!$K22</f>
        <v>3.4686220517595345E-2</v>
      </c>
      <c r="E22">
        <f>unicount!E22/pop!E22*100000-pop!$K22</f>
        <v>-1.0471699682160218E-4</v>
      </c>
      <c r="F22">
        <f>unicount!F22/pop!F22*100000-pop!$K22</f>
        <v>5.4362650985843308E-3</v>
      </c>
      <c r="G22">
        <f>unicount!G22/pop!G22*100000-pop!$K22</f>
        <v>-3.1486085023055124E-2</v>
      </c>
      <c r="H22">
        <f>unicount!H22/pop!H22*100000-pop!$K22</f>
        <v>2.6838549304382064E-2</v>
      </c>
      <c r="I22">
        <f>unicount!I22/pop!I22*100000-pop!$K22</f>
        <v>-5.0461607968979583E-3</v>
      </c>
      <c r="J22">
        <f>unicount!J22/pop!J22*100000-pop!$K22</f>
        <v>-2.127006677979898E-2</v>
      </c>
    </row>
    <row r="23" spans="1:10" x14ac:dyDescent="0.3">
      <c r="A23">
        <v>1996</v>
      </c>
      <c r="B23">
        <f>unicount!B23/pop!B23*100000-pop!$K23</f>
        <v>4.7731441069215813E-2</v>
      </c>
      <c r="C23">
        <f>unicount!C23/pop!C23*100000-pop!$K23</f>
        <v>-2.8853627215478767E-2</v>
      </c>
      <c r="D23">
        <f>unicount!D23/pop!D23*100000-pop!$K23</f>
        <v>3.507171281055263E-2</v>
      </c>
      <c r="E23">
        <f>unicount!E23/pop!E23*100000-pop!$K23</f>
        <v>-2.8005020110979939E-4</v>
      </c>
      <c r="F23">
        <f>unicount!F23/pop!F23*100000-pop!$K23</f>
        <v>5.669194965746055E-3</v>
      </c>
      <c r="G23">
        <f>unicount!G23/pop!G23*100000-pop!$K23</f>
        <v>-3.1671793370830537E-2</v>
      </c>
      <c r="H23">
        <f>unicount!H23/pop!H23*100000-pop!$K23</f>
        <v>2.5723602112493416E-2</v>
      </c>
      <c r="I23">
        <f>unicount!I23/pop!I23*100000-pop!$K23</f>
        <v>-5.3157357806680183E-3</v>
      </c>
      <c r="J23">
        <f>unicount!J23/pop!J23*100000-pop!$K23</f>
        <v>-2.1153829282807429E-2</v>
      </c>
    </row>
    <row r="24" spans="1:10" x14ac:dyDescent="0.3">
      <c r="A24">
        <v>1997</v>
      </c>
      <c r="B24">
        <f>unicount!B24/pop!B24*100000-pop!$K24</f>
        <v>4.8802969973135157E-2</v>
      </c>
      <c r="C24">
        <f>unicount!C24/pop!C24*100000-pop!$K24</f>
        <v>-2.8151670181147948E-2</v>
      </c>
      <c r="D24">
        <f>unicount!D24/pop!D24*100000-pop!$K24</f>
        <v>3.5644806780556482E-2</v>
      </c>
      <c r="E24">
        <f>unicount!E24/pop!E24*100000-pop!$K24</f>
        <v>-2.7631823493715069E-4</v>
      </c>
      <c r="F24">
        <f>unicount!F24/pop!F24*100000-pop!$K24</f>
        <v>6.1293396853211723E-3</v>
      </c>
      <c r="G24">
        <f>unicount!G24/pop!G24*100000-pop!$K24</f>
        <v>-3.1977396772772212E-2</v>
      </c>
      <c r="H24">
        <f>unicount!H24/pop!H24*100000-pop!$K24</f>
        <v>2.5169884544706839E-2</v>
      </c>
      <c r="I24">
        <f>unicount!I24/pop!I24*100000-pop!$K24</f>
        <v>-5.8240381480144932E-3</v>
      </c>
      <c r="J24">
        <f>unicount!J24/pop!J24*100000-pop!$K24</f>
        <v>-2.160348204287478E-2</v>
      </c>
    </row>
    <row r="25" spans="1:10" x14ac:dyDescent="0.3">
      <c r="A25">
        <v>1998</v>
      </c>
      <c r="B25">
        <f>unicount!B25/pop!B25*100000-pop!$K25</f>
        <v>4.9814692462203297E-2</v>
      </c>
      <c r="C25">
        <f>unicount!C25/pop!C25*100000-pop!$K25</f>
        <v>-2.7647833117652981E-2</v>
      </c>
      <c r="D25">
        <f>unicount!D25/pop!D25*100000-pop!$K25</f>
        <v>3.6105219743784694E-2</v>
      </c>
      <c r="E25">
        <f>unicount!E25/pop!E25*100000-pop!$K25</f>
        <v>-2.4499482614748214E-4</v>
      </c>
      <c r="F25">
        <f>unicount!F25/pop!F25*100000-pop!$K25</f>
        <v>6.3332588837259618E-3</v>
      </c>
      <c r="G25">
        <f>unicount!G25/pop!G25*100000-pop!$K25</f>
        <v>-3.226621738064446E-2</v>
      </c>
      <c r="H25">
        <f>unicount!H25/pop!H25*100000-pop!$K25</f>
        <v>2.4408969172677653E-2</v>
      </c>
      <c r="I25">
        <f>unicount!I25/pop!I25*100000-pop!$K25</f>
        <v>-5.9929440241126286E-3</v>
      </c>
      <c r="J25">
        <f>unicount!J25/pop!J25*100000-pop!$K25</f>
        <v>-2.170544947914016E-2</v>
      </c>
    </row>
    <row r="26" spans="1:10" x14ac:dyDescent="0.3">
      <c r="A26">
        <v>1999</v>
      </c>
      <c r="B26">
        <f>unicount!B26/pop!B26*100000-pop!$K26</f>
        <v>5.1253471265215511E-2</v>
      </c>
      <c r="C26">
        <f>unicount!C26/pop!C26*100000-pop!$K26</f>
        <v>-2.66867749819647E-2</v>
      </c>
      <c r="D26">
        <f>unicount!D26/pop!D26*100000-pop!$K26</f>
        <v>3.6785336544210734E-2</v>
      </c>
      <c r="E26">
        <f>unicount!E26/pop!E26*100000-pop!$K26</f>
        <v>-3.075647898831968E-4</v>
      </c>
      <c r="F26">
        <f>unicount!F26/pop!F26*100000-pop!$K26</f>
        <v>6.9454298856755081E-3</v>
      </c>
      <c r="G26">
        <f>unicount!G26/pop!G26*100000-pop!$K26</f>
        <v>-3.2414370977213891E-2</v>
      </c>
      <c r="H26">
        <f>unicount!H26/pop!H26*100000-pop!$K26</f>
        <v>2.2939573030527072E-2</v>
      </c>
      <c r="I26">
        <f>unicount!I26/pop!I26*100000-pop!$K26</f>
        <v>-6.5251612206553289E-3</v>
      </c>
      <c r="J26">
        <f>unicount!J26/pop!J26*100000-pop!$K26</f>
        <v>-2.1874130767586403E-2</v>
      </c>
    </row>
    <row r="27" spans="1:10" x14ac:dyDescent="0.3">
      <c r="A27">
        <v>2000</v>
      </c>
      <c r="B27">
        <f>unicount!B27/pop!B27*100000-pop!$K27</f>
        <v>5.2374317862607267E-2</v>
      </c>
      <c r="C27">
        <f>unicount!C27/pop!C27*100000-pop!$K27</f>
        <v>-2.6116579751055358E-2</v>
      </c>
      <c r="D27">
        <f>unicount!D27/pop!D27*100000-pop!$K27</f>
        <v>3.7291209696905581E-2</v>
      </c>
      <c r="E27">
        <f>unicount!E27/pop!E27*100000-pop!$K27</f>
        <v>-2.5999450648267475E-4</v>
      </c>
      <c r="F27">
        <f>unicount!F27/pop!F27*100000-pop!$K27</f>
        <v>7.6021259874216596E-3</v>
      </c>
      <c r="G27">
        <f>unicount!G27/pop!G27*100000-pop!$K27</f>
        <v>-3.2582815932130235E-2</v>
      </c>
      <c r="H27">
        <f>unicount!H27/pop!H27*100000-pop!$K27</f>
        <v>2.1609858565780127E-2</v>
      </c>
      <c r="I27">
        <f>unicount!I27/pop!I27*100000-pop!$K27</f>
        <v>-6.5495174002294654E-3</v>
      </c>
      <c r="J27">
        <f>unicount!J27/pop!J27*100000-pop!$K27</f>
        <v>-2.2187515471018396E-2</v>
      </c>
    </row>
    <row r="28" spans="1:10" x14ac:dyDescent="0.3">
      <c r="A28">
        <v>2001</v>
      </c>
      <c r="B28">
        <f>unicount!B28/pop!B28*100000-pop!$K28</f>
        <v>5.1241053251449342E-2</v>
      </c>
      <c r="C28">
        <f>unicount!C28/pop!C28*100000-pop!$K28</f>
        <v>-2.7486055075016336E-2</v>
      </c>
      <c r="D28">
        <f>unicount!D28/pop!D28*100000-pop!$K28</f>
        <v>1.5148566220767601E-2</v>
      </c>
      <c r="E28">
        <f>unicount!E28/pop!E28*100000-pop!$K28</f>
        <v>2.1477146502583394E-2</v>
      </c>
      <c r="F28">
        <f>unicount!F28/pop!F28*100000-pop!$K28</f>
        <v>5.8919266753260646E-3</v>
      </c>
      <c r="G28">
        <f>unicount!G28/pop!G28*100000-pop!$K28</f>
        <v>-3.4500780503625039E-2</v>
      </c>
      <c r="H28">
        <f>unicount!H28/pop!H28*100000-pop!$K28</f>
        <v>1.8278262029442882E-2</v>
      </c>
      <c r="I28">
        <f>unicount!I28/pop!I28*100000-pop!$K28</f>
        <v>-8.504217492139976E-3</v>
      </c>
      <c r="J28">
        <f>unicount!J28/pop!J28*100000-pop!$K28</f>
        <v>-3.9983891191973098E-3</v>
      </c>
    </row>
    <row r="29" spans="1:10" x14ac:dyDescent="0.3">
      <c r="A29">
        <v>2002</v>
      </c>
      <c r="B29">
        <f>unicount!B29/pop!B29*100000-pop!$K29</f>
        <v>5.3887142150117862E-2</v>
      </c>
      <c r="C29">
        <f>unicount!C29/pop!C29*100000-pop!$K29</f>
        <v>-2.5007528967275997E-2</v>
      </c>
      <c r="D29">
        <f>unicount!D29/pop!D29*100000-pop!$K29</f>
        <v>1.7079685639503461E-2</v>
      </c>
      <c r="E29">
        <f>unicount!E29/pop!E29*100000-pop!$K29</f>
        <v>2.289113773861004E-2</v>
      </c>
      <c r="F29">
        <f>unicount!F29/pop!F29*100000-pop!$K29</f>
        <v>7.9912415891399691E-3</v>
      </c>
      <c r="G29">
        <f>unicount!G29/pop!G29*100000-pop!$K29</f>
        <v>-3.2474196991084919E-2</v>
      </c>
      <c r="H29">
        <f>unicount!H29/pop!H29*100000-pop!$K29</f>
        <v>6.2019931619240465E-3</v>
      </c>
      <c r="I29">
        <f>unicount!I29/pop!I29*100000-pop!$K29</f>
        <v>-6.1891367966050437E-3</v>
      </c>
      <c r="J29">
        <f>unicount!J29/pop!J29*100000-pop!$K29</f>
        <v>-2.2451681137197754E-3</v>
      </c>
    </row>
    <row r="30" spans="1:10" x14ac:dyDescent="0.3">
      <c r="A30">
        <v>2003</v>
      </c>
      <c r="B30">
        <f>unicount!B30/pop!B30*100000-pop!$K30</f>
        <v>5.4602825312119546E-2</v>
      </c>
      <c r="C30">
        <f>unicount!C30/pop!C30*100000-pop!$K30</f>
        <v>-2.4817876067842234E-2</v>
      </c>
      <c r="D30">
        <f>unicount!D30/pop!D30*100000-pop!$K30</f>
        <v>1.6950513029605402E-2</v>
      </c>
      <c r="E30">
        <f>unicount!E30/pop!E30*100000-pop!$K30</f>
        <v>2.2297398119142997E-2</v>
      </c>
      <c r="F30">
        <f>unicount!F30/pop!F30*100000-pop!$K30</f>
        <v>8.0094944577973337E-3</v>
      </c>
      <c r="G30">
        <f>unicount!G30/pop!G30*100000-pop!$K30</f>
        <v>-3.2605449355788754E-2</v>
      </c>
      <c r="H30">
        <f>unicount!H30/pop!H30*100000-pop!$K30</f>
        <v>6.5409886385601468E-3</v>
      </c>
      <c r="I30">
        <f>unicount!I30/pop!I30*100000-pop!$K30</f>
        <v>-6.2066128298981782E-3</v>
      </c>
      <c r="J30">
        <f>unicount!J30/pop!J30*100000-pop!$K30</f>
        <v>-2.3978837603360614E-3</v>
      </c>
    </row>
    <row r="31" spans="1:10" x14ac:dyDescent="0.3">
      <c r="A31">
        <v>2004</v>
      </c>
      <c r="B31">
        <f>unicount!B31/pop!B31*100000-pop!$K31</f>
        <v>5.1377525325645018E-2</v>
      </c>
      <c r="C31">
        <f>unicount!C31/pop!C31*100000-pop!$K31</f>
        <v>-2.8481215950804967E-2</v>
      </c>
      <c r="D31">
        <f>unicount!D31/pop!D31*100000-pop!$K31</f>
        <v>1.256890427239582E-2</v>
      </c>
      <c r="E31">
        <f>unicount!E31/pop!E31*100000-pop!$K31</f>
        <v>1.7680071829247301E-2</v>
      </c>
      <c r="F31">
        <f>unicount!F31/pop!F31*100000-pop!$K31</f>
        <v>4.2000988971766517E-3</v>
      </c>
      <c r="G31">
        <f>unicount!G31/pop!G31*100000-pop!$K31</f>
        <v>-3.651266227361824E-2</v>
      </c>
      <c r="H31">
        <f>unicount!H31/pop!H31*100000-pop!$K31</f>
        <v>2.9468117480549699E-2</v>
      </c>
      <c r="I31">
        <f>unicount!I31/pop!I31*100000-pop!$K31</f>
        <v>-1.0184189228892693E-2</v>
      </c>
      <c r="J31">
        <f>unicount!J31/pop!J31*100000-pop!$K31</f>
        <v>-6.4977776302050927E-3</v>
      </c>
    </row>
    <row r="32" spans="1:10" x14ac:dyDescent="0.3">
      <c r="A32">
        <v>2005</v>
      </c>
      <c r="B32">
        <f>unicount!B32/pop!B32*100000-pop!$K32</f>
        <v>3.4263582249669189E-2</v>
      </c>
      <c r="C32">
        <f>unicount!C32/pop!C32*100000-pop!$K32</f>
        <v>-1.6476050707879997E-2</v>
      </c>
      <c r="D32">
        <f>unicount!D32/pop!D32*100000-pop!$K32</f>
        <v>-5.4314508165796138E-3</v>
      </c>
      <c r="E32">
        <f>unicount!E32/pop!E32*100000-pop!$K32</f>
        <v>2.2759390434813481E-2</v>
      </c>
      <c r="F32">
        <f>unicount!F32/pop!F32*100000-pop!$K32</f>
        <v>5.2288731016013612E-3</v>
      </c>
      <c r="G32">
        <f>unicount!G32/pop!G32*100000-pop!$K32</f>
        <v>-5.4173811611092942E-2</v>
      </c>
      <c r="H32">
        <f>unicount!H32/pop!H32*100000-pop!$K32</f>
        <v>1.0859111542259881E-2</v>
      </c>
      <c r="I32">
        <f>unicount!I32/pop!I32*100000-pop!$K32</f>
        <v>2.0826234340575844E-2</v>
      </c>
      <c r="J32">
        <f>unicount!J32/pop!J32*100000-pop!$K32</f>
        <v>-4.7452213924617792E-3</v>
      </c>
    </row>
    <row r="33" spans="1:10" x14ac:dyDescent="0.3">
      <c r="A33">
        <v>2006</v>
      </c>
      <c r="B33">
        <f>unicount!B33/pop!B33*100000-pop!$K33</f>
        <v>2.9100651889519491E-2</v>
      </c>
      <c r="C33">
        <f>unicount!C33/pop!C33*100000-pop!$K33</f>
        <v>-7.3968378175766347E-3</v>
      </c>
      <c r="D33">
        <f>unicount!D33/pop!D33*100000-pop!$K33</f>
        <v>8.5208468951803451E-3</v>
      </c>
      <c r="E33">
        <f>unicount!E33/pop!E33*100000-pop!$K33</f>
        <v>1.6425199660573153E-2</v>
      </c>
      <c r="F33">
        <f>unicount!F33/pop!F33*100000-pop!$K33</f>
        <v>-5.9151921995817536E-4</v>
      </c>
      <c r="G33">
        <f>unicount!G33/pop!G33*100000-pop!$K33</f>
        <v>-4.1920848971691488E-2</v>
      </c>
      <c r="H33">
        <f>unicount!H33/pop!H33*100000-pop!$K33</f>
        <v>4.3210825298141686E-3</v>
      </c>
      <c r="I33">
        <f>unicount!I33/pop!I33*100000-pop!$K33</f>
        <v>1.4579079222580504E-2</v>
      </c>
      <c r="J33">
        <f>unicount!J33/pop!J33*100000-pop!$K33</f>
        <v>-1.0525632659828227E-2</v>
      </c>
    </row>
    <row r="34" spans="1:10" x14ac:dyDescent="0.3">
      <c r="A34">
        <v>2007</v>
      </c>
      <c r="B34">
        <f>unicount!B34/pop!B34*100000-pop!$K34</f>
        <v>2.3887377983624392E-2</v>
      </c>
      <c r="C34">
        <f>unicount!C34/pop!C34*100000-pop!$K34</f>
        <v>1.9090152408069716E-3</v>
      </c>
      <c r="D34">
        <f>unicount!D34/pop!D34*100000-pop!$K34</f>
        <v>3.0096183936172138E-3</v>
      </c>
      <c r="E34">
        <f>unicount!E34/pop!E34*100000-pop!$K34</f>
        <v>1.0351897467048371E-2</v>
      </c>
      <c r="F34">
        <f>unicount!F34/pop!F34*100000-pop!$K34</f>
        <v>-6.1898883033627283E-3</v>
      </c>
      <c r="G34">
        <f>unicount!G34/pop!G34*100000-pop!$K34</f>
        <v>-4.7452865612540168E-2</v>
      </c>
      <c r="H34">
        <f>unicount!H34/pop!H34*100000-pop!$K34</f>
        <v>1.0703207563338313E-2</v>
      </c>
      <c r="I34">
        <f>unicount!I34/pop!I34*100000-pop!$K34</f>
        <v>2.0315625521981989E-2</v>
      </c>
      <c r="J34">
        <f>unicount!J34/pop!J34*100000-pop!$K34</f>
        <v>-1.6546418111226507E-2</v>
      </c>
    </row>
    <row r="35" spans="1:10" x14ac:dyDescent="0.3">
      <c r="A35">
        <v>2008</v>
      </c>
      <c r="B35">
        <f>unicount!B35/pop!B35*100000-pop!$K35</f>
        <v>2.2842520358580809E-2</v>
      </c>
      <c r="C35">
        <f>unicount!C35/pop!C35*100000-pop!$K35</f>
        <v>6.8768916024242177E-4</v>
      </c>
      <c r="D35">
        <f>unicount!D35/pop!D35*100000-pop!$K35</f>
        <v>1.3589303329769875E-3</v>
      </c>
      <c r="E35">
        <f>unicount!E35/pop!E35*100000-pop!$K35</f>
        <v>8.3724326675264915E-3</v>
      </c>
      <c r="F35">
        <f>unicount!F35/pop!F35*100000-pop!$K35</f>
        <v>-8.0137973813782515E-3</v>
      </c>
      <c r="G35">
        <f>unicount!G35/pop!G35*100000-pop!$K35</f>
        <v>-4.9134726125395864E-2</v>
      </c>
      <c r="H35">
        <f>unicount!H35/pop!H35*100000-pop!$K35</f>
        <v>7.4456708682945627E-3</v>
      </c>
      <c r="I35">
        <f>unicount!I35/pop!I35*100000-pop!$K35</f>
        <v>2.9984809351103203E-2</v>
      </c>
      <c r="J35">
        <f>unicount!J35/pop!J35*100000-pop!$K35</f>
        <v>-1.8065037625035529E-2</v>
      </c>
    </row>
    <row r="36" spans="1:10" x14ac:dyDescent="0.3">
      <c r="A36">
        <v>2009</v>
      </c>
      <c r="B36">
        <f>unicount!B36/pop!B36*100000-pop!$K36</f>
        <v>2.3631602534170515E-2</v>
      </c>
      <c r="C36">
        <f>unicount!C36/pop!C36*100000-pop!$K36</f>
        <v>1.2583743517606272E-3</v>
      </c>
      <c r="D36">
        <f>unicount!D36/pop!D36*100000-pop!$K36</f>
        <v>1.7935076343089662E-3</v>
      </c>
      <c r="E36">
        <f>unicount!E36/pop!E36*100000-pop!$K36</f>
        <v>8.3948528283843971E-3</v>
      </c>
      <c r="F36">
        <f>unicount!F36/pop!F36*100000-pop!$K36</f>
        <v>-7.7025864921782816E-3</v>
      </c>
      <c r="G36">
        <f>unicount!G36/pop!G36*100000-pop!$K36</f>
        <v>-4.8801318786863085E-2</v>
      </c>
      <c r="H36">
        <f>unicount!H36/pop!H36*100000-pop!$K36</f>
        <v>5.7549267128666759E-3</v>
      </c>
      <c r="I36">
        <f>unicount!I36/pop!I36*100000-pop!$K36</f>
        <v>2.9703922710679037E-2</v>
      </c>
      <c r="J36">
        <f>unicount!J36/pop!J36*100000-pop!$K36</f>
        <v>-1.7453200635979493E-2</v>
      </c>
    </row>
    <row r="37" spans="1:10" x14ac:dyDescent="0.3">
      <c r="A37">
        <v>2010</v>
      </c>
      <c r="B37">
        <f>unicount!B37/pop!B37*100000-pop!$K37</f>
        <v>2.421885162325349E-2</v>
      </c>
      <c r="C37">
        <f>unicount!C37/pop!C37*100000-pop!$K37</f>
        <v>1.8770214628429094E-3</v>
      </c>
      <c r="D37">
        <f>unicount!D37/pop!D37*100000-pop!$K37</f>
        <v>2.2072978415346167E-3</v>
      </c>
      <c r="E37">
        <f>unicount!E37/pop!E37*100000-pop!$K37</f>
        <v>8.4337947053723106E-3</v>
      </c>
      <c r="F37">
        <f>unicount!F37/pop!F37*100000-pop!$K37</f>
        <v>-7.3651688032043972E-3</v>
      </c>
      <c r="G37">
        <f>unicount!G37/pop!G37*100000-pop!$K37</f>
        <v>-4.8529246665332676E-2</v>
      </c>
      <c r="H37">
        <f>unicount!H37/pop!H37*100000-pop!$K37</f>
        <v>4.5999852195184321E-3</v>
      </c>
      <c r="I37">
        <f>unicount!I37/pop!I37*100000-pop!$K37</f>
        <v>2.912161191103585E-2</v>
      </c>
      <c r="J37">
        <f>unicount!J37/pop!J37*100000-pop!$K37</f>
        <v>-1.7010531220458369E-2</v>
      </c>
    </row>
    <row r="38" spans="1:10" x14ac:dyDescent="0.3">
      <c r="A38">
        <v>2011</v>
      </c>
      <c r="B38">
        <f>unicount!B38/pop!B38*100000-pop!$K38</f>
        <v>2.4985632171004718E-2</v>
      </c>
      <c r="C38">
        <f>unicount!C38/pop!C38*100000-pop!$K38</f>
        <v>2.4833066077787902E-3</v>
      </c>
      <c r="D38">
        <f>unicount!D38/pop!D38*100000-pop!$K38</f>
        <v>2.6041880570343012E-3</v>
      </c>
      <c r="E38">
        <f>unicount!E38/pop!E38*100000-pop!$K38</f>
        <v>8.7248998634884278E-3</v>
      </c>
      <c r="F38">
        <f>unicount!F38/pop!F38*100000-pop!$K38</f>
        <v>-7.1197245864945968E-3</v>
      </c>
      <c r="G38">
        <f>unicount!G38/pop!G38*100000-pop!$K38</f>
        <v>-4.8181005397917309E-2</v>
      </c>
      <c r="H38">
        <f>unicount!H38/pop!H38*100000-pop!$K38</f>
        <v>3.0543381124854829E-3</v>
      </c>
      <c r="I38">
        <f>unicount!I38/pop!I38*100000-pop!$K38</f>
        <v>2.8882897948572878E-2</v>
      </c>
      <c r="J38">
        <f>unicount!J38/pop!J38*100000-pop!$K38</f>
        <v>-1.6665927458878432E-2</v>
      </c>
    </row>
    <row r="39" spans="1:10" x14ac:dyDescent="0.3">
      <c r="A39">
        <v>2012</v>
      </c>
      <c r="B39">
        <f>unicount!B39/pop!B39*100000-pop!$K39</f>
        <v>7.3605873780999143E-3</v>
      </c>
      <c r="C39">
        <f>unicount!C39/pop!C39*100000-pop!$K39</f>
        <v>-1.5515939329228234E-2</v>
      </c>
      <c r="D39">
        <f>unicount!D39/pop!D39*100000-pop!$K39</f>
        <v>3.1771936223542185E-3</v>
      </c>
      <c r="E39">
        <f>unicount!E39/pop!E39*100000-pop!$K39</f>
        <v>1.1883125286677509E-2</v>
      </c>
      <c r="F39">
        <f>unicount!F39/pop!F39*100000-pop!$K39</f>
        <v>2.7730527195879484E-2</v>
      </c>
      <c r="G39">
        <f>unicount!G39/pop!G39*100000-pop!$K39</f>
        <v>-4.9774559046032923E-2</v>
      </c>
      <c r="H39">
        <f>unicount!H39/pop!H39*100000-pop!$K39</f>
        <v>-1.6769450628280919E-2</v>
      </c>
      <c r="I39">
        <f>unicount!I39/pop!I39*100000-pop!$K39</f>
        <v>2.1118948450035147E-2</v>
      </c>
      <c r="J39">
        <f>unicount!J39/pop!J39*100000-pop!$K39</f>
        <v>2.1110505682144814E-2</v>
      </c>
    </row>
    <row r="40" spans="1:10" x14ac:dyDescent="0.3">
      <c r="A40">
        <v>2013</v>
      </c>
      <c r="B40">
        <f>unicount!B40/pop!B40*100000-pop!$K40</f>
        <v>2.8902431258314432E-3</v>
      </c>
      <c r="C40">
        <f>unicount!C40/pop!C40*100000-pop!$K40</f>
        <v>-2.0282075798564253E-2</v>
      </c>
      <c r="D40">
        <f>unicount!D40/pop!D40*100000-pop!$K40</f>
        <v>-1.7355572673918851E-3</v>
      </c>
      <c r="E40">
        <f>unicount!E40/pop!E40*100000-pop!$K40</f>
        <v>6.28432602235382E-3</v>
      </c>
      <c r="F40">
        <f>unicount!F40/pop!F40*100000-pop!$K40</f>
        <v>2.2207547987754012E-2</v>
      </c>
      <c r="G40">
        <f>unicount!G40/pop!G40*100000-pop!$K40</f>
        <v>-5.5181262482243837E-2</v>
      </c>
      <c r="H40">
        <f>unicount!H40/pop!H40*100000-pop!$K40</f>
        <v>4.2246623083622148E-4</v>
      </c>
      <c r="I40">
        <f>unicount!I40/pop!I40*100000-pop!$K40</f>
        <v>1.5153863923168587E-2</v>
      </c>
      <c r="J40">
        <f>unicount!J40/pop!J40*100000-pop!$K40</f>
        <v>3.4091078098382521E-2</v>
      </c>
    </row>
    <row r="41" spans="1:10" x14ac:dyDescent="0.3">
      <c r="A41">
        <v>2014</v>
      </c>
      <c r="B41">
        <f>unicount!B41/pop!B41*100000-pop!$K41</f>
        <v>2.0939136517658108E-3</v>
      </c>
      <c r="C41">
        <f>unicount!C41/pop!C41*100000-pop!$K41</f>
        <v>-2.1400163586941967E-2</v>
      </c>
      <c r="D41">
        <f>unicount!D41/pop!D41*100000-pop!$K41</f>
        <v>-2.7500170915482347E-3</v>
      </c>
      <c r="E41">
        <f>unicount!E41/pop!E41*100000-pop!$K41</f>
        <v>4.4140837335218952E-3</v>
      </c>
      <c r="F41">
        <f>unicount!F41/pop!F41*100000-pop!$K41</f>
        <v>2.0463033948947301E-2</v>
      </c>
      <c r="G41">
        <f>unicount!G41/pop!G41*100000-pop!$K41</f>
        <v>-5.6980759998318475E-2</v>
      </c>
      <c r="H41">
        <f>unicount!H41/pop!H41*100000-pop!$K41</f>
        <v>9.4541350195431473E-3</v>
      </c>
      <c r="I41">
        <f>unicount!I41/pop!I41*100000-pop!$K41</f>
        <v>1.2943626398325248E-2</v>
      </c>
      <c r="J41">
        <f>unicount!J41/pop!J41*100000-pop!$K41</f>
        <v>3.1872460012958043E-2</v>
      </c>
    </row>
    <row r="42" spans="1:10" x14ac:dyDescent="0.3">
      <c r="A42">
        <v>2015</v>
      </c>
      <c r="B42">
        <f>unicount!B42/pop!B42*100000-pop!$K42</f>
        <v>1.6875809386622531E-3</v>
      </c>
      <c r="C42">
        <f>unicount!C42/pop!C42*100000-pop!$K42</f>
        <v>-2.2681746392797353E-2</v>
      </c>
      <c r="D42">
        <f>unicount!D42/pop!D42*100000-pop!$K42</f>
        <v>-3.7861893867953689E-3</v>
      </c>
      <c r="E42">
        <f>unicount!E42/pop!E42*100000-pop!$K42</f>
        <v>2.4893457385909701E-3</v>
      </c>
      <c r="F42">
        <f>unicount!F42/pop!F42*100000-pop!$K42</f>
        <v>3.6089044701226008E-2</v>
      </c>
      <c r="G42">
        <f>unicount!G42/pop!G42*100000-pop!$K42</f>
        <v>-5.8566062368646837E-2</v>
      </c>
      <c r="H42">
        <f>unicount!H42/pop!H42*100000-pop!$K42</f>
        <v>6.5641840638693549E-3</v>
      </c>
      <c r="I42">
        <f>unicount!I42/pop!I42*100000-pop!$K42</f>
        <v>1.0926014690323171E-2</v>
      </c>
      <c r="J42">
        <f>unicount!J42/pop!J42*100000-pop!$K42</f>
        <v>2.9567826451166096E-2</v>
      </c>
    </row>
    <row r="43" spans="1:10" x14ac:dyDescent="0.3">
      <c r="A43">
        <v>2016</v>
      </c>
      <c r="B43">
        <f>unicount!B43/pop!B43*100000-pop!$K43</f>
        <v>2.8646301086071857E-3</v>
      </c>
      <c r="C43">
        <f>unicount!C43/pop!C43*100000-pop!$K43</f>
        <v>-2.2222304689248934E-2</v>
      </c>
      <c r="D43">
        <f>unicount!D43/pop!D43*100000-pop!$K43</f>
        <v>-3.1931407183827809E-3</v>
      </c>
      <c r="E43">
        <f>unicount!E43/pop!E43*100000-pop!$K43</f>
        <v>2.1074964234426008E-3</v>
      </c>
      <c r="F43">
        <f>unicount!F43/pop!F43*100000-pop!$K43</f>
        <v>3.556321076750435E-2</v>
      </c>
      <c r="G43">
        <f>unicount!G43/pop!G43*100000-pop!$K43</f>
        <v>-4.2023996672119784E-2</v>
      </c>
      <c r="H43">
        <f>unicount!H43/pop!H43*100000-pop!$K43</f>
        <v>-5.1124798541345995E-3</v>
      </c>
      <c r="I43">
        <f>unicount!I43/pop!I43*100000-pop!$K43</f>
        <v>1.0726475631789717E-2</v>
      </c>
      <c r="J43">
        <f>unicount!J43/pop!J43*100000-pop!$K43</f>
        <v>2.9014283012273129E-2</v>
      </c>
    </row>
    <row r="44" spans="1:10" x14ac:dyDescent="0.3">
      <c r="A44">
        <v>2017</v>
      </c>
      <c r="B44">
        <f>unicount!B44/pop!B44*100000-pop!$K44</f>
        <v>1.7817011294226359E-3</v>
      </c>
      <c r="C44">
        <f>unicount!C44/pop!C44*100000-pop!$K44</f>
        <v>-2.3851437842073248E-2</v>
      </c>
      <c r="D44">
        <f>unicount!D44/pop!D44*100000-pop!$K44</f>
        <v>1.3878427276252131E-2</v>
      </c>
      <c r="E44">
        <f>unicount!E44/pop!E44*100000-pop!$K44</f>
        <v>-4.3285562840589265E-4</v>
      </c>
      <c r="F44">
        <f>unicount!F44/pop!F44*100000-pop!$K44</f>
        <v>3.3247930798888214E-2</v>
      </c>
      <c r="G44">
        <f>unicount!G44/pop!G44*100000-pop!$K44</f>
        <v>-4.36877908233054E-2</v>
      </c>
      <c r="H44">
        <f>unicount!H44/pop!H44*100000-pop!$K44</f>
        <v>-6.4718997215972573E-3</v>
      </c>
      <c r="I44">
        <f>unicount!I44/pop!I44*100000-pop!$K44</f>
        <v>8.9093766331254654E-3</v>
      </c>
      <c r="J44">
        <f>unicount!J44/pop!J44*100000-pop!$K44</f>
        <v>2.6476984858570557E-2</v>
      </c>
    </row>
    <row r="45" spans="1:10" x14ac:dyDescent="0.3">
      <c r="A45">
        <v>2018</v>
      </c>
      <c r="B45">
        <f>unicount!B45/pop!B45*100000-pop!$K45</f>
        <v>-1.1713291749178567E-3</v>
      </c>
      <c r="C45">
        <f>unicount!C45/pop!C45*100000-pop!$K45</f>
        <v>-2.7307829589731214E-2</v>
      </c>
      <c r="D45">
        <f>unicount!D45/pop!D45*100000-pop!$K45</f>
        <v>1.0732367635922002E-2</v>
      </c>
      <c r="E45">
        <f>unicount!E45/pop!E45*100000-pop!$K45</f>
        <v>-4.4192594932204732E-3</v>
      </c>
      <c r="F45">
        <f>unicount!F45/pop!F45*100000-pop!$K45</f>
        <v>2.9408971620746682E-2</v>
      </c>
      <c r="G45">
        <f>unicount!G45/pop!G45*100000-pop!$K45</f>
        <v>-4.7037840149605603E-2</v>
      </c>
      <c r="H45">
        <f>unicount!H45/pop!H45*100000-pop!$K45</f>
        <v>1.1235080936772834E-3</v>
      </c>
      <c r="I45">
        <f>unicount!I45/pop!I45*100000-pop!$K45</f>
        <v>5.3867584320554662E-3</v>
      </c>
      <c r="J45">
        <f>unicount!J45/pop!J45*100000-pop!$K45</f>
        <v>4.0412120755269287E-2</v>
      </c>
    </row>
    <row r="46" spans="1:10" x14ac:dyDescent="0.3">
      <c r="A46">
        <v>2019</v>
      </c>
      <c r="B46">
        <f>unicount!B46/pop!B46*100000-pop!$K46</f>
        <v>-2.4353954575435377E-3</v>
      </c>
      <c r="C46">
        <f>unicount!C46/pop!C46*100000-pop!$K46</f>
        <v>-2.9096961989709014E-2</v>
      </c>
      <c r="D46">
        <f>unicount!D46/pop!D46*100000-pop!$K46</f>
        <v>9.2256334567893117E-3</v>
      </c>
      <c r="E46">
        <f>unicount!E46/pop!E46*100000-pop!$K46</f>
        <v>-6.2712759240515226E-3</v>
      </c>
      <c r="F46">
        <f>unicount!F46/pop!F46*100000-pop!$K46</f>
        <v>2.7490260382257187E-2</v>
      </c>
      <c r="G46">
        <f>unicount!G46/pop!G46*100000-pop!$K46</f>
        <v>-4.8623036972752748E-2</v>
      </c>
      <c r="H46">
        <f>unicount!H46/pop!H46*100000-pop!$K46</f>
        <v>1.0412444485296546E-2</v>
      </c>
      <c r="I46">
        <f>unicount!I46/pop!I46*100000-pop!$K46</f>
        <v>3.7166545757698621E-3</v>
      </c>
      <c r="J46">
        <f>unicount!J46/pop!J46*100000-pop!$K46</f>
        <v>3.8314306774515167E-2</v>
      </c>
    </row>
    <row r="47" spans="1:10" x14ac:dyDescent="0.3">
      <c r="A47">
        <v>2020</v>
      </c>
      <c r="B47">
        <f>unicount!B47/pop!B47*100000-pop!$K47</f>
        <v>-2.1622907479081355E-3</v>
      </c>
      <c r="C47">
        <f>unicount!C47/pop!C47*100000-pop!$K47</f>
        <v>-2.9152772150252082E-2</v>
      </c>
      <c r="D47">
        <f>unicount!D47/pop!D47*100000-pop!$K47</f>
        <v>9.411461404343624E-3</v>
      </c>
      <c r="E47">
        <f>unicount!E47/pop!E47*100000-pop!$K47</f>
        <v>-6.3830741678262415E-3</v>
      </c>
      <c r="F47">
        <f>unicount!F47/pop!F47*100000-pop!$K47</f>
        <v>2.7412109180335598E-2</v>
      </c>
      <c r="G47">
        <f>unicount!G47/pop!G47*100000-pop!$K47</f>
        <v>-4.8833546020997681E-2</v>
      </c>
      <c r="H47">
        <f>unicount!H47/pop!H47*100000-pop!$K47</f>
        <v>1.1258634620459368E-2</v>
      </c>
      <c r="I47">
        <f>unicount!I47/pop!I47*100000-pop!$K47</f>
        <v>3.3751075986366841E-3</v>
      </c>
      <c r="J47">
        <f>unicount!J47/pop!J47*100000-pop!$K47</f>
        <v>3.7860183818527043E-2</v>
      </c>
    </row>
    <row r="48" spans="1:10" x14ac:dyDescent="0.3">
      <c r="A48">
        <v>2021</v>
      </c>
      <c r="B48">
        <f>unicount!B48/pop!B48*100000-pop!$K48</f>
        <v>-2.1070038427734028E-3</v>
      </c>
      <c r="C48">
        <f>unicount!C48/pop!C48*100000-pop!$K48</f>
        <v>-2.9328987834205317E-2</v>
      </c>
      <c r="D48">
        <f>unicount!D48/pop!D48*100000-pop!$K48</f>
        <v>9.6751258958759911E-3</v>
      </c>
      <c r="E48">
        <f>unicount!E48/pop!E48*100000-pop!$K48</f>
        <v>-6.5975856462215099E-3</v>
      </c>
      <c r="F48">
        <f>unicount!F48/pop!F48*100000-pop!$K48</f>
        <v>2.7294095825501546E-2</v>
      </c>
      <c r="G48">
        <f>unicount!G48/pop!G48*100000-pop!$K48</f>
        <v>-4.9224730636376945E-2</v>
      </c>
      <c r="H48">
        <f>unicount!H48/pop!H48*100000-pop!$K48</f>
        <v>1.3469749058555497E-2</v>
      </c>
      <c r="I48">
        <f>unicount!I48/pop!I48*100000-pop!$K48</f>
        <v>2.6703156197803446E-3</v>
      </c>
      <c r="J48">
        <f>unicount!J48/pop!J48*100000-pop!$K48</f>
        <v>3.6593373218488906E-2</v>
      </c>
    </row>
    <row r="49" spans="1:11" x14ac:dyDescent="0.3">
      <c r="A49">
        <v>2022</v>
      </c>
      <c r="B49">
        <f>unicount!B49/pop!B49*100000-pop!$K49</f>
        <v>-1.3182651267473727E-2</v>
      </c>
      <c r="C49">
        <f>unicount!C49/pop!C49*100000-pop!$K49</f>
        <v>-3.9940509988100614E-2</v>
      </c>
      <c r="D49">
        <f>unicount!D49/pop!D49*100000-pop!$K49</f>
        <v>-9.8586973611697326E-4</v>
      </c>
      <c r="E49">
        <f>unicount!E49/pop!E49*100000-pop!$K49</f>
        <v>-1.7228864672401256E-2</v>
      </c>
      <c r="F49">
        <f>unicount!F49/pop!F49*100000-pop!$K49</f>
        <v>1.6447684707565469E-2</v>
      </c>
      <c r="G49">
        <f>unicount!G49/pop!G49*100000-pop!$K49</f>
        <v>-5.9012044245632028E-2</v>
      </c>
      <c r="H49">
        <f>unicount!H49/pop!H49*100000-pop!$K49</f>
        <v>3.7172752884710059E-2</v>
      </c>
      <c r="I49">
        <f>unicount!I49/pop!I49*100000-pop!$K49</f>
        <v>1.3448230562024349E-2</v>
      </c>
      <c r="J49">
        <f>unicount!J49/pop!J49*100000-pop!$K49</f>
        <v>4.3157292151793286E-2</v>
      </c>
    </row>
    <row r="50" spans="1:11" x14ac:dyDescent="0.3">
      <c r="A50">
        <v>2023</v>
      </c>
      <c r="B50">
        <f>unicount!B50/pop!B50*100000-pop!$K50</f>
        <v>-2.5332608819603281E-2</v>
      </c>
      <c r="C50">
        <f>unicount!C50/pop!C50*100000-pop!$K50</f>
        <v>-5.1848429530890361E-2</v>
      </c>
      <c r="D50">
        <f>unicount!D50/pop!D50*100000-pop!$K50</f>
        <v>-1.310568622054159E-2</v>
      </c>
      <c r="E50">
        <f>unicount!E50/pop!E50*100000-pop!$K50</f>
        <v>-2.9425538364827891E-2</v>
      </c>
      <c r="F50">
        <f>unicount!F50/pop!F50*100000-pop!$K50</f>
        <v>3.8754325481099583E-3</v>
      </c>
      <c r="G50">
        <f>unicount!G50/pop!G50*100000-pop!$K50</f>
        <v>-7.0608285693875061E-2</v>
      </c>
      <c r="H50">
        <f>unicount!H50/pop!H50*100000-pop!$K50</f>
        <v>0.10327267422036818</v>
      </c>
      <c r="I50">
        <f>unicount!I50/pop!I50*100000-pop!$K50</f>
        <v>1.1741387465894204E-3</v>
      </c>
      <c r="J50">
        <f>unicount!J50/pop!J50*100000-pop!$K50</f>
        <v>3.1171102298610753E-2</v>
      </c>
    </row>
    <row r="51" spans="1:11" x14ac:dyDescent="0.3">
      <c r="A51">
        <v>2024</v>
      </c>
      <c r="B51">
        <f>unicount!B51/pop!B51*100000-pop!$K51</f>
        <v>-2.700480793443788E-2</v>
      </c>
      <c r="C51">
        <f>unicount!C51/pop!C51*100000-pop!$K51</f>
        <v>-5.3029160174152129E-2</v>
      </c>
      <c r="D51">
        <f>unicount!D51/pop!D51*100000-pop!$K51</f>
        <v>-1.4217503864371539E-2</v>
      </c>
      <c r="E51">
        <f>unicount!E51/pop!E51*100000-pop!$K51</f>
        <v>-3.0365273533676268E-2</v>
      </c>
      <c r="F51">
        <f>unicount!F51/pop!F51*100000-pop!$K51</f>
        <v>1.9913245263649959E-3</v>
      </c>
      <c r="G51">
        <f>unicount!G51/pop!G51*100000-pop!$K51</f>
        <v>-7.1264791329846172E-2</v>
      </c>
      <c r="H51">
        <f>unicount!H51/pop!H51*100000-pop!$K51</f>
        <v>9.9920012501016314E-2</v>
      </c>
      <c r="I51">
        <f>unicount!I51/pop!I51*100000-pop!$K51</f>
        <v>-7.1415470996891162E-4</v>
      </c>
      <c r="J51">
        <f>unicount!J51/pop!J51*100000-pop!$K51</f>
        <v>4.6562381565524419E-2</v>
      </c>
    </row>
    <row r="52" spans="1:11" x14ac:dyDescent="0.3">
      <c r="A52">
        <v>2025</v>
      </c>
      <c r="B52">
        <f>unicount!B52/pop!B52*100000-pop!$K52</f>
        <v>-2.6937572580912783E-2</v>
      </c>
      <c r="C52">
        <f>unicount!C52/pop!C52*100000-pop!$K52</f>
        <v>-5.2479551451630552E-2</v>
      </c>
      <c r="D52">
        <f>unicount!D52/pop!D52*100000-pop!$K52</f>
        <v>-1.3610715741220553E-2</v>
      </c>
      <c r="E52">
        <f>unicount!E52/pop!E52*100000-pop!$K52</f>
        <v>-2.9588017398878813E-2</v>
      </c>
      <c r="F52">
        <f>unicount!F52/pop!F52*100000-pop!$K52</f>
        <v>1.8453542208264617E-3</v>
      </c>
      <c r="G52">
        <f>unicount!G52/pop!G52*100000-pop!$K52</f>
        <v>-7.0203391336816329E-2</v>
      </c>
      <c r="H52">
        <f>unicount!H52/pop!H52*100000-pop!$K52</f>
        <v>9.8327004892607789E-2</v>
      </c>
      <c r="I52">
        <f>unicount!I52/pop!I52*100000-pop!$K52</f>
        <v>-8.634347376811069E-4</v>
      </c>
      <c r="J52">
        <f>unicount!J52/pop!J52*100000-pop!$K52</f>
        <v>4.6472095251096496E-2</v>
      </c>
      <c r="K52">
        <f>SUM(B52:J52)</f>
        <v>-4.703822888260939E-2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EADF-327D-43CE-AFE9-2F15D88D97F4}">
  <dimension ref="A1:B52"/>
  <sheetViews>
    <sheetView workbookViewId="0">
      <selection activeCell="F17" sqref="F17"/>
    </sheetView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s="3">
        <v>1975</v>
      </c>
      <c r="B2" s="2">
        <v>15.516223018584892</v>
      </c>
    </row>
    <row r="3" spans="1:2" x14ac:dyDescent="0.3">
      <c r="A3" s="3">
        <v>1976</v>
      </c>
      <c r="B3" s="2">
        <v>18.085635469622474</v>
      </c>
    </row>
    <row r="4" spans="1:2" x14ac:dyDescent="0.3">
      <c r="A4" s="3">
        <v>1977</v>
      </c>
      <c r="B4" s="2">
        <v>20.950448370697579</v>
      </c>
    </row>
    <row r="5" spans="1:2" x14ac:dyDescent="0.3">
      <c r="A5" s="3">
        <v>1978</v>
      </c>
      <c r="B5" s="2">
        <v>22.681613467789006</v>
      </c>
    </row>
    <row r="6" spans="1:2" x14ac:dyDescent="0.3">
      <c r="A6" s="3">
        <v>1979</v>
      </c>
      <c r="B6" s="2">
        <v>25.725776314692908</v>
      </c>
    </row>
    <row r="7" spans="1:2" x14ac:dyDescent="0.3">
      <c r="A7" s="3">
        <v>1980</v>
      </c>
      <c r="B7" s="2">
        <v>30.347649804150354</v>
      </c>
    </row>
    <row r="8" spans="1:2" x14ac:dyDescent="0.3">
      <c r="A8" s="3">
        <v>1981</v>
      </c>
      <c r="B8" s="2">
        <v>33.951926827235638</v>
      </c>
    </row>
    <row r="9" spans="1:2" x14ac:dyDescent="0.3">
      <c r="A9" s="3">
        <v>1982</v>
      </c>
      <c r="B9" s="2">
        <v>36.871406783898706</v>
      </c>
    </row>
    <row r="10" spans="1:2" x14ac:dyDescent="0.3">
      <c r="A10" s="3">
        <v>1983</v>
      </c>
      <c r="B10" s="2">
        <v>38.570921743478664</v>
      </c>
    </row>
    <row r="11" spans="1:2" x14ac:dyDescent="0.3">
      <c r="A11" s="3">
        <v>1984</v>
      </c>
      <c r="B11" s="2">
        <v>40.484313692807767</v>
      </c>
    </row>
    <row r="12" spans="1:2" x14ac:dyDescent="0.3">
      <c r="A12" s="3">
        <v>1985</v>
      </c>
      <c r="B12" s="2">
        <v>42.942276023001945</v>
      </c>
    </row>
    <row r="13" spans="1:2" x14ac:dyDescent="0.3">
      <c r="A13" s="3">
        <v>1986</v>
      </c>
      <c r="B13" s="2">
        <v>44.414169514126229</v>
      </c>
    </row>
    <row r="14" spans="1:2" x14ac:dyDescent="0.3">
      <c r="A14" s="3">
        <v>1987</v>
      </c>
      <c r="B14" s="2">
        <v>46.256878906575601</v>
      </c>
    </row>
    <row r="15" spans="1:2" x14ac:dyDescent="0.3">
      <c r="A15" s="3">
        <v>1988</v>
      </c>
      <c r="B15" s="2">
        <v>48.179014917909861</v>
      </c>
    </row>
    <row r="16" spans="1:2" x14ac:dyDescent="0.3">
      <c r="A16" s="3">
        <v>1989</v>
      </c>
      <c r="B16" s="2">
        <v>50.954246187182299</v>
      </c>
    </row>
    <row r="17" spans="1:2" x14ac:dyDescent="0.3">
      <c r="A17" s="3">
        <v>1990</v>
      </c>
      <c r="B17" s="2">
        <v>55.062921910159233</v>
      </c>
    </row>
    <row r="18" spans="1:2" x14ac:dyDescent="0.3">
      <c r="A18" s="3">
        <v>1991</v>
      </c>
      <c r="B18" s="2">
        <v>59.171597633136138</v>
      </c>
    </row>
    <row r="19" spans="1:2" x14ac:dyDescent="0.3">
      <c r="A19" s="3">
        <v>1992</v>
      </c>
      <c r="B19" s="2">
        <v>61.888490707558987</v>
      </c>
    </row>
    <row r="20" spans="1:2" x14ac:dyDescent="0.3">
      <c r="A20" s="3">
        <v>1993</v>
      </c>
      <c r="B20" s="2">
        <v>63.471955996333037</v>
      </c>
    </row>
    <row r="21" spans="1:2" x14ac:dyDescent="0.3">
      <c r="A21" s="3">
        <v>1994</v>
      </c>
      <c r="B21" s="2">
        <v>64.88040670055841</v>
      </c>
    </row>
    <row r="22" spans="1:2" x14ac:dyDescent="0.3">
      <c r="A22" s="3">
        <v>1995</v>
      </c>
      <c r="B22" s="2">
        <v>66.630552546045536</v>
      </c>
    </row>
    <row r="23" spans="1:2" x14ac:dyDescent="0.3">
      <c r="A23" s="3">
        <v>1996</v>
      </c>
      <c r="B23" s="2">
        <v>68.530710892574419</v>
      </c>
    </row>
    <row r="24" spans="1:2" x14ac:dyDescent="0.3">
      <c r="A24" s="3">
        <v>1997</v>
      </c>
      <c r="B24" s="2">
        <v>70.039169930827597</v>
      </c>
    </row>
    <row r="25" spans="1:2" x14ac:dyDescent="0.3">
      <c r="A25" s="3">
        <v>1998</v>
      </c>
      <c r="B25" s="2">
        <v>71.314276189682502</v>
      </c>
    </row>
    <row r="26" spans="1:2" x14ac:dyDescent="0.3">
      <c r="A26" s="3">
        <v>1999</v>
      </c>
      <c r="B26" s="2">
        <v>72.564380365030459</v>
      </c>
    </row>
    <row r="27" spans="1:2" x14ac:dyDescent="0.3">
      <c r="A27" s="3">
        <v>2000</v>
      </c>
      <c r="B27" s="2">
        <v>73.42278523210274</v>
      </c>
    </row>
    <row r="28" spans="1:2" x14ac:dyDescent="0.3">
      <c r="A28" s="3">
        <v>2001</v>
      </c>
      <c r="B28" s="2">
        <v>74.547878989915887</v>
      </c>
    </row>
    <row r="29" spans="1:2" x14ac:dyDescent="0.3">
      <c r="A29" s="3">
        <v>2002</v>
      </c>
      <c r="B29" s="2">
        <v>75.681306775564678</v>
      </c>
    </row>
    <row r="30" spans="1:2" x14ac:dyDescent="0.3">
      <c r="A30" s="3">
        <v>2003</v>
      </c>
      <c r="B30" s="2">
        <v>76.723060255021309</v>
      </c>
    </row>
    <row r="31" spans="1:2" x14ac:dyDescent="0.3">
      <c r="A31" s="3">
        <v>2004</v>
      </c>
      <c r="B31" s="2">
        <v>77.789815817984859</v>
      </c>
    </row>
    <row r="32" spans="1:2" x14ac:dyDescent="0.3">
      <c r="A32" s="3">
        <v>2005</v>
      </c>
      <c r="B32" s="2">
        <v>79.414951245937189</v>
      </c>
    </row>
    <row r="33" spans="1:2" x14ac:dyDescent="0.3">
      <c r="A33" s="3">
        <v>2006</v>
      </c>
      <c r="B33" s="2">
        <v>81.365113759479982</v>
      </c>
    </row>
    <row r="34" spans="1:2" x14ac:dyDescent="0.3">
      <c r="A34" s="3">
        <v>2007</v>
      </c>
      <c r="B34" s="2">
        <v>83.306942245187116</v>
      </c>
    </row>
    <row r="35" spans="1:2" x14ac:dyDescent="0.3">
      <c r="A35" s="3">
        <v>2008</v>
      </c>
      <c r="B35" s="2">
        <v>86.240520043336971</v>
      </c>
    </row>
    <row r="36" spans="1:2" x14ac:dyDescent="0.3">
      <c r="A36" s="3">
        <v>2009</v>
      </c>
      <c r="B36" s="2">
        <v>87.932327693974543</v>
      </c>
    </row>
    <row r="37" spans="1:2" x14ac:dyDescent="0.3">
      <c r="A37" s="3">
        <v>2010</v>
      </c>
      <c r="B37" s="2">
        <v>90.124177014751282</v>
      </c>
    </row>
    <row r="38" spans="1:2" x14ac:dyDescent="0.3">
      <c r="A38" s="3">
        <v>2011</v>
      </c>
      <c r="B38" s="2">
        <v>93.599466622218586</v>
      </c>
    </row>
    <row r="39" spans="1:2" x14ac:dyDescent="0.3">
      <c r="A39" s="3">
        <v>2012</v>
      </c>
      <c r="B39" s="2">
        <v>96.00800066672231</v>
      </c>
    </row>
    <row r="40" spans="1:2" x14ac:dyDescent="0.3">
      <c r="A40" s="3">
        <v>2013</v>
      </c>
      <c r="B40">
        <v>98.208184015334638</v>
      </c>
    </row>
    <row r="41" spans="1:2" x14ac:dyDescent="0.3">
      <c r="A41" s="3">
        <v>2014</v>
      </c>
      <c r="B41">
        <v>99.633302775231286</v>
      </c>
    </row>
    <row r="42" spans="1:2" x14ac:dyDescent="0.3">
      <c r="A42" s="3">
        <v>2015</v>
      </c>
      <c r="B42">
        <v>100</v>
      </c>
    </row>
    <row r="43" spans="1:2" x14ac:dyDescent="0.3">
      <c r="A43" s="3">
        <v>2016</v>
      </c>
      <c r="B43">
        <v>101.0084173681141</v>
      </c>
    </row>
    <row r="44" spans="1:2" x14ac:dyDescent="0.3">
      <c r="A44" s="3">
        <v>2017</v>
      </c>
      <c r="B44">
        <v>103.59196599716643</v>
      </c>
    </row>
    <row r="45" spans="1:2" x14ac:dyDescent="0.3">
      <c r="A45" s="3">
        <v>2018</v>
      </c>
      <c r="B45">
        <v>105.96716393032752</v>
      </c>
    </row>
    <row r="46" spans="1:2" x14ac:dyDescent="0.3">
      <c r="A46" s="3">
        <v>2019</v>
      </c>
      <c r="B46">
        <v>107.80898408200682</v>
      </c>
    </row>
    <row r="47" spans="1:2" x14ac:dyDescent="0.3">
      <c r="A47" s="3">
        <v>2020</v>
      </c>
      <c r="B47">
        <v>108.87573964497048</v>
      </c>
    </row>
    <row r="48" spans="1:2" x14ac:dyDescent="0.3">
      <c r="A48" s="3">
        <v>2021</v>
      </c>
      <c r="B48">
        <v>111.61763480290037</v>
      </c>
    </row>
    <row r="49" spans="1:2" x14ac:dyDescent="0.3">
      <c r="A49" s="3">
        <v>2022</v>
      </c>
      <c r="B49">
        <v>120.46003833652806</v>
      </c>
    </row>
    <row r="50" spans="1:2" x14ac:dyDescent="0.3">
      <c r="A50" s="3">
        <v>2023</v>
      </c>
      <c r="B50">
        <v>128.6440536711392</v>
      </c>
    </row>
    <row r="51" spans="1:2" x14ac:dyDescent="0.3">
      <c r="A51" s="3">
        <v>2024</v>
      </c>
      <c r="B51">
        <v>132.85273772814401</v>
      </c>
    </row>
    <row r="52" spans="1:2" x14ac:dyDescent="0.3">
      <c r="A52" s="3">
        <v>2025</v>
      </c>
      <c r="B52">
        <v>138.01150095841325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unemp</vt:lpstr>
      <vt:lpstr>unemp_devi</vt:lpstr>
      <vt:lpstr>unemp_avg</vt:lpstr>
      <vt:lpstr>home_bachfee</vt:lpstr>
      <vt:lpstr>earn</vt:lpstr>
      <vt:lpstr>earn_avg</vt:lpstr>
      <vt:lpstr>unicount</vt:lpstr>
      <vt:lpstr>pop</vt:lpstr>
      <vt:lpstr>uniperpop</vt:lpstr>
      <vt:lpstr>uniperkm</vt:lpstr>
      <vt:lpstr>uniweight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Tri T (PG/T - Economics)</dc:creator>
  <cp:lastModifiedBy>Pham, Tri T (PG/T - Economics)</cp:lastModifiedBy>
  <dcterms:created xsi:type="dcterms:W3CDTF">2026-06-22T08:09:32Z</dcterms:created>
  <dcterms:modified xsi:type="dcterms:W3CDTF">2026-07-04T09:00:36Z</dcterms:modified>
</cp:coreProperties>
</file>