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01040\Downloads\msc-dissertation-roe\Data\External data\"/>
    </mc:Choice>
  </mc:AlternateContent>
  <xr:revisionPtr revIDLastSave="0" documentId="13_ncr:1_{21F7083D-6E9E-454E-BDF7-DE0EBDBC96F8}" xr6:coauthVersionLast="47" xr6:coauthVersionMax="47" xr10:uidLastSave="{00000000-0000-0000-0000-000000000000}"/>
  <bookViews>
    <workbookView xWindow="-108" yWindow="-108" windowWidth="23256" windowHeight="12456" activeTab="3" xr2:uid="{CBF8D809-2CCE-4683-B951-0D73F9F5ACB4}"/>
  </bookViews>
  <sheets>
    <sheet name="nom_unconverted" sheetId="1" r:id="rId1"/>
    <sheet name="nom_converted" sheetId="2" r:id="rId2"/>
    <sheet name="real_unconverted" sheetId="3" r:id="rId3"/>
    <sheet name="real_converte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3" l="1"/>
  <c r="C3" i="3"/>
  <c r="D3" i="3"/>
  <c r="E3" i="3"/>
  <c r="F3" i="3"/>
  <c r="G3" i="3"/>
  <c r="H3" i="3"/>
  <c r="I3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C11" i="3"/>
  <c r="D11" i="3"/>
  <c r="E11" i="3"/>
  <c r="F11" i="3"/>
  <c r="G11" i="3"/>
  <c r="H11" i="3"/>
  <c r="I11" i="3"/>
  <c r="B12" i="3"/>
  <c r="C12" i="3"/>
  <c r="D12" i="3"/>
  <c r="E12" i="3"/>
  <c r="F12" i="3"/>
  <c r="G12" i="3"/>
  <c r="H12" i="3"/>
  <c r="I12" i="3"/>
  <c r="B13" i="3"/>
  <c r="C13" i="3"/>
  <c r="D13" i="3"/>
  <c r="E13" i="3"/>
  <c r="F13" i="3"/>
  <c r="G13" i="3"/>
  <c r="H13" i="3"/>
  <c r="I13" i="3"/>
  <c r="B14" i="3"/>
  <c r="C14" i="3"/>
  <c r="D14" i="3"/>
  <c r="E14" i="3"/>
  <c r="F14" i="3"/>
  <c r="G14" i="3"/>
  <c r="H14" i="3"/>
  <c r="I14" i="3"/>
  <c r="B15" i="3"/>
  <c r="C15" i="3"/>
  <c r="D15" i="3"/>
  <c r="E15" i="3"/>
  <c r="F15" i="3"/>
  <c r="G15" i="3"/>
  <c r="H15" i="3"/>
  <c r="I15" i="3"/>
  <c r="B16" i="3"/>
  <c r="C16" i="3"/>
  <c r="D16" i="3"/>
  <c r="E16" i="3"/>
  <c r="F16" i="3"/>
  <c r="G16" i="3"/>
  <c r="H16" i="3"/>
  <c r="I16" i="3"/>
  <c r="B17" i="3"/>
  <c r="C17" i="3"/>
  <c r="D17" i="3"/>
  <c r="E17" i="3"/>
  <c r="F17" i="3"/>
  <c r="G17" i="3"/>
  <c r="H17" i="3"/>
  <c r="I17" i="3"/>
  <c r="B18" i="3"/>
  <c r="C18" i="3"/>
  <c r="D18" i="3"/>
  <c r="E18" i="3"/>
  <c r="F18" i="3"/>
  <c r="G18" i="3"/>
  <c r="H18" i="3"/>
  <c r="I18" i="3"/>
  <c r="B19" i="3"/>
  <c r="C19" i="3"/>
  <c r="D19" i="3"/>
  <c r="E19" i="3"/>
  <c r="F19" i="3"/>
  <c r="G19" i="3"/>
  <c r="H19" i="3"/>
  <c r="I19" i="3"/>
  <c r="B20" i="3"/>
  <c r="C20" i="3"/>
  <c r="D20" i="3"/>
  <c r="E20" i="3"/>
  <c r="F20" i="3"/>
  <c r="G20" i="3"/>
  <c r="H20" i="3"/>
  <c r="I20" i="3"/>
  <c r="B21" i="3"/>
  <c r="C21" i="3"/>
  <c r="D21" i="3"/>
  <c r="E21" i="3"/>
  <c r="F21" i="3"/>
  <c r="G21" i="3"/>
  <c r="H21" i="3"/>
  <c r="I21" i="3"/>
  <c r="B22" i="3"/>
  <c r="C22" i="3"/>
  <c r="D22" i="3"/>
  <c r="E22" i="3"/>
  <c r="F22" i="3"/>
  <c r="G22" i="3"/>
  <c r="H22" i="3"/>
  <c r="I22" i="3"/>
  <c r="B23" i="3"/>
  <c r="C23" i="3"/>
  <c r="D23" i="3"/>
  <c r="E23" i="3"/>
  <c r="F23" i="3"/>
  <c r="G23" i="3"/>
  <c r="H23" i="3"/>
  <c r="I23" i="3"/>
  <c r="B24" i="3"/>
  <c r="C24" i="3"/>
  <c r="D24" i="3"/>
  <c r="E24" i="3"/>
  <c r="F24" i="3"/>
  <c r="G24" i="3"/>
  <c r="H24" i="3"/>
  <c r="I24" i="3"/>
  <c r="B25" i="3"/>
  <c r="C25" i="3"/>
  <c r="D25" i="3"/>
  <c r="E25" i="3"/>
  <c r="F25" i="3"/>
  <c r="G25" i="3"/>
  <c r="H25" i="3"/>
  <c r="I25" i="3"/>
  <c r="B26" i="3"/>
  <c r="C26" i="3"/>
  <c r="D26" i="3"/>
  <c r="E26" i="3"/>
  <c r="F26" i="3"/>
  <c r="G26" i="3"/>
  <c r="H26" i="3"/>
  <c r="I26" i="3"/>
  <c r="B27" i="3"/>
  <c r="C27" i="3"/>
  <c r="D27" i="3"/>
  <c r="E27" i="3"/>
  <c r="F27" i="3"/>
  <c r="G27" i="3"/>
  <c r="H27" i="3"/>
  <c r="I27" i="3"/>
  <c r="C2" i="3"/>
  <c r="D2" i="3"/>
  <c r="E2" i="3"/>
  <c r="F2" i="3"/>
  <c r="G2" i="3"/>
  <c r="H2" i="3"/>
  <c r="I2" i="3"/>
  <c r="B2" i="3"/>
  <c r="B3" i="4"/>
  <c r="C3" i="4"/>
  <c r="D3" i="4"/>
  <c r="E3" i="4"/>
  <c r="F3" i="4"/>
  <c r="G3" i="4"/>
  <c r="H3" i="4"/>
  <c r="I3" i="4"/>
  <c r="J3" i="4"/>
  <c r="B4" i="4"/>
  <c r="C4" i="4"/>
  <c r="D4" i="4"/>
  <c r="E4" i="4"/>
  <c r="F4" i="4"/>
  <c r="G4" i="4"/>
  <c r="H4" i="4"/>
  <c r="I4" i="4"/>
  <c r="J4" i="4"/>
  <c r="B5" i="4"/>
  <c r="C5" i="4"/>
  <c r="D5" i="4"/>
  <c r="E5" i="4"/>
  <c r="F5" i="4"/>
  <c r="G5" i="4"/>
  <c r="H5" i="4"/>
  <c r="I5" i="4"/>
  <c r="J5" i="4"/>
  <c r="B6" i="4"/>
  <c r="C6" i="4"/>
  <c r="D6" i="4"/>
  <c r="E6" i="4"/>
  <c r="F6" i="4"/>
  <c r="G6" i="4"/>
  <c r="H6" i="4"/>
  <c r="I6" i="4"/>
  <c r="J6" i="4"/>
  <c r="B7" i="4"/>
  <c r="C7" i="4"/>
  <c r="D7" i="4"/>
  <c r="E7" i="4"/>
  <c r="F7" i="4"/>
  <c r="G7" i="4"/>
  <c r="H7" i="4"/>
  <c r="I7" i="4"/>
  <c r="J7" i="4"/>
  <c r="B8" i="4"/>
  <c r="C8" i="4"/>
  <c r="D8" i="4"/>
  <c r="E8" i="4"/>
  <c r="F8" i="4"/>
  <c r="G8" i="4"/>
  <c r="H8" i="4"/>
  <c r="I8" i="4"/>
  <c r="J8" i="4"/>
  <c r="B9" i="4"/>
  <c r="C9" i="4"/>
  <c r="D9" i="4"/>
  <c r="E9" i="4"/>
  <c r="F9" i="4"/>
  <c r="G9" i="4"/>
  <c r="H9" i="4"/>
  <c r="I9" i="4"/>
  <c r="J9" i="4"/>
  <c r="B10" i="4"/>
  <c r="C10" i="4"/>
  <c r="D10" i="4"/>
  <c r="E10" i="4"/>
  <c r="F10" i="4"/>
  <c r="G10" i="4"/>
  <c r="H10" i="4"/>
  <c r="I10" i="4"/>
  <c r="J10" i="4"/>
  <c r="B11" i="4"/>
  <c r="C11" i="4"/>
  <c r="D11" i="4"/>
  <c r="E11" i="4"/>
  <c r="F11" i="4"/>
  <c r="G11" i="4"/>
  <c r="H11" i="4"/>
  <c r="I11" i="4"/>
  <c r="J11" i="4"/>
  <c r="B12" i="4"/>
  <c r="C12" i="4"/>
  <c r="D12" i="4"/>
  <c r="E12" i="4"/>
  <c r="F12" i="4"/>
  <c r="G12" i="4"/>
  <c r="H12" i="4"/>
  <c r="I12" i="4"/>
  <c r="J12" i="4"/>
  <c r="B13" i="4"/>
  <c r="C13" i="4"/>
  <c r="D13" i="4"/>
  <c r="E13" i="4"/>
  <c r="F13" i="4"/>
  <c r="G13" i="4"/>
  <c r="H13" i="4"/>
  <c r="I13" i="4"/>
  <c r="J13" i="4"/>
  <c r="B14" i="4"/>
  <c r="C14" i="4"/>
  <c r="D14" i="4"/>
  <c r="E14" i="4"/>
  <c r="F14" i="4"/>
  <c r="G14" i="4"/>
  <c r="H14" i="4"/>
  <c r="I14" i="4"/>
  <c r="J14" i="4"/>
  <c r="B15" i="4"/>
  <c r="C15" i="4"/>
  <c r="D15" i="4"/>
  <c r="E15" i="4"/>
  <c r="F15" i="4"/>
  <c r="G15" i="4"/>
  <c r="H15" i="4"/>
  <c r="I15" i="4"/>
  <c r="J15" i="4"/>
  <c r="B16" i="4"/>
  <c r="C16" i="4"/>
  <c r="D16" i="4"/>
  <c r="E16" i="4"/>
  <c r="F16" i="4"/>
  <c r="G16" i="4"/>
  <c r="H16" i="4"/>
  <c r="I16" i="4"/>
  <c r="J16" i="4"/>
  <c r="B17" i="4"/>
  <c r="C17" i="4"/>
  <c r="D17" i="4"/>
  <c r="E17" i="4"/>
  <c r="F17" i="4"/>
  <c r="G17" i="4"/>
  <c r="H17" i="4"/>
  <c r="I17" i="4"/>
  <c r="J17" i="4"/>
  <c r="B18" i="4"/>
  <c r="C18" i="4"/>
  <c r="D18" i="4"/>
  <c r="E18" i="4"/>
  <c r="F18" i="4"/>
  <c r="G18" i="4"/>
  <c r="H18" i="4"/>
  <c r="I18" i="4"/>
  <c r="J18" i="4"/>
  <c r="B19" i="4"/>
  <c r="C19" i="4"/>
  <c r="D19" i="4"/>
  <c r="E19" i="4"/>
  <c r="F19" i="4"/>
  <c r="G19" i="4"/>
  <c r="H19" i="4"/>
  <c r="I19" i="4"/>
  <c r="J19" i="4"/>
  <c r="B20" i="4"/>
  <c r="C20" i="4"/>
  <c r="D20" i="4"/>
  <c r="E20" i="4"/>
  <c r="F20" i="4"/>
  <c r="G20" i="4"/>
  <c r="H20" i="4"/>
  <c r="I20" i="4"/>
  <c r="J20" i="4"/>
  <c r="B21" i="4"/>
  <c r="C21" i="4"/>
  <c r="D21" i="4"/>
  <c r="E21" i="4"/>
  <c r="F21" i="4"/>
  <c r="G21" i="4"/>
  <c r="H21" i="4"/>
  <c r="I21" i="4"/>
  <c r="J21" i="4"/>
  <c r="B22" i="4"/>
  <c r="C22" i="4"/>
  <c r="D22" i="4"/>
  <c r="E22" i="4"/>
  <c r="F22" i="4"/>
  <c r="G22" i="4"/>
  <c r="H22" i="4"/>
  <c r="I22" i="4"/>
  <c r="J22" i="4"/>
  <c r="B23" i="4"/>
  <c r="C23" i="4"/>
  <c r="D23" i="4"/>
  <c r="E23" i="4"/>
  <c r="F23" i="4"/>
  <c r="G23" i="4"/>
  <c r="H23" i="4"/>
  <c r="I23" i="4"/>
  <c r="J23" i="4"/>
  <c r="B24" i="4"/>
  <c r="C24" i="4"/>
  <c r="D24" i="4"/>
  <c r="E24" i="4"/>
  <c r="F24" i="4"/>
  <c r="G24" i="4"/>
  <c r="H24" i="4"/>
  <c r="I24" i="4"/>
  <c r="J24" i="4"/>
  <c r="B25" i="4"/>
  <c r="C25" i="4"/>
  <c r="D25" i="4"/>
  <c r="E25" i="4"/>
  <c r="F25" i="4"/>
  <c r="G25" i="4"/>
  <c r="H25" i="4"/>
  <c r="I25" i="4"/>
  <c r="J25" i="4"/>
  <c r="B26" i="4"/>
  <c r="C26" i="4"/>
  <c r="D26" i="4"/>
  <c r="E26" i="4"/>
  <c r="F26" i="4"/>
  <c r="G26" i="4"/>
  <c r="H26" i="4"/>
  <c r="I26" i="4"/>
  <c r="J26" i="4"/>
  <c r="B27" i="4"/>
  <c r="C27" i="4"/>
  <c r="D27" i="4"/>
  <c r="E27" i="4"/>
  <c r="F27" i="4"/>
  <c r="G27" i="4"/>
  <c r="H27" i="4"/>
  <c r="I27" i="4"/>
  <c r="J27" i="4"/>
  <c r="C2" i="4"/>
  <c r="D2" i="4"/>
  <c r="E2" i="4"/>
  <c r="F2" i="4"/>
  <c r="G2" i="4"/>
  <c r="H2" i="4"/>
  <c r="I2" i="4"/>
  <c r="J2" i="4"/>
  <c r="B2" i="4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" i="3"/>
</calcChain>
</file>

<file path=xl/sharedStrings.xml><?xml version="1.0" encoding="utf-8"?>
<sst xmlns="http://schemas.openxmlformats.org/spreadsheetml/2006/main" count="28" uniqueCount="13">
  <si>
    <t>Under 18</t>
  </si>
  <si>
    <t>21 and over</t>
  </si>
  <si>
    <t>21 to 22*</t>
  </si>
  <si>
    <t>23 and over*</t>
  </si>
  <si>
    <t>21-24*</t>
  </si>
  <si>
    <t>25 and over*</t>
  </si>
  <si>
    <t>18 to 21*</t>
  </si>
  <si>
    <t>22 and over*</t>
  </si>
  <si>
    <t>25 and over</t>
  </si>
  <si>
    <t>18 to 20</t>
  </si>
  <si>
    <t>Year</t>
  </si>
  <si>
    <t>CPI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</si>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</sst>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5F7C-59DE-4BAE-AB15-0CFBE2C16D43}">
  <dimension ref="A1:K27"/>
  <sheetViews>
    <sheetView workbookViewId="0">
      <selection activeCell="B2" sqref="B2"/>
    </sheetView>
  </sheetViews>
  <sheetFormatPr defaultRowHeight="14.4" x14ac:dyDescent="0.3"/>
  <cols>
    <col min="3" max="3" width="13.44140625" customWidth="1"/>
    <col min="4" max="4" width="13.77734375" customWidth="1"/>
    <col min="6" max="6" width="11.21875" customWidth="1"/>
    <col min="8" max="8" width="13.5546875" customWidth="1"/>
    <col min="9" max="9" width="13.88671875" customWidth="1"/>
    <col min="10" max="10" width="18" customWidth="1"/>
  </cols>
  <sheetData>
    <row r="1" spans="1:11" x14ac:dyDescent="0.3">
      <c r="B1" s="1" t="s">
        <v>0</v>
      </c>
      <c r="C1" s="1" t="s">
        <v>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11</v>
      </c>
    </row>
    <row r="2" spans="1:11" x14ac:dyDescent="0.3">
      <c r="A2" s="5">
        <v>1999</v>
      </c>
      <c r="B2" t="e">
        <v>#N/A</v>
      </c>
      <c r="C2" t="e">
        <v>#N/A</v>
      </c>
      <c r="D2" t="e">
        <v>#N/A</v>
      </c>
      <c r="E2" t="e">
        <v>#N/A</v>
      </c>
      <c r="F2" t="e">
        <v>#N/A</v>
      </c>
      <c r="G2" t="e">
        <v>#N/A</v>
      </c>
      <c r="H2" t="e">
        <v>#N/A</v>
      </c>
      <c r="I2" s="2">
        <v>3</v>
      </c>
      <c r="J2" s="3">
        <v>3.6</v>
      </c>
      <c r="K2">
        <v>80.515997780000006</v>
      </c>
    </row>
    <row r="3" spans="1:11" x14ac:dyDescent="0.3">
      <c r="A3" s="5">
        <v>2000</v>
      </c>
      <c r="B3" t="e">
        <v>#N/A</v>
      </c>
      <c r="C3" t="e">
        <v>#N/A</v>
      </c>
      <c r="D3" t="e">
        <v>#N/A</v>
      </c>
      <c r="E3" t="e">
        <v>#N/A</v>
      </c>
      <c r="F3" t="e">
        <v>#N/A</v>
      </c>
      <c r="G3" t="e">
        <v>#N/A</v>
      </c>
      <c r="H3" t="e">
        <v>#N/A</v>
      </c>
      <c r="I3" s="3">
        <v>3.2</v>
      </c>
      <c r="J3" s="3">
        <v>3.7</v>
      </c>
      <c r="K3">
        <v>81.468466800000002</v>
      </c>
    </row>
    <row r="4" spans="1:11" x14ac:dyDescent="0.3">
      <c r="A4" s="5">
        <v>2001</v>
      </c>
      <c r="B4" t="e">
        <v>#N/A</v>
      </c>
      <c r="C4" t="e">
        <v>#N/A</v>
      </c>
      <c r="D4" t="e">
        <v>#N/A</v>
      </c>
      <c r="E4" t="e">
        <v>#N/A</v>
      </c>
      <c r="F4" t="e">
        <v>#N/A</v>
      </c>
      <c r="G4" t="e">
        <v>#N/A</v>
      </c>
      <c r="H4" t="e">
        <v>#N/A</v>
      </c>
      <c r="I4" s="3">
        <v>3.5</v>
      </c>
      <c r="J4" s="3">
        <v>4.0999999999999996</v>
      </c>
      <c r="K4">
        <v>82.716848529999993</v>
      </c>
    </row>
    <row r="5" spans="1:11" x14ac:dyDescent="0.3">
      <c r="A5" s="5">
        <v>2002</v>
      </c>
      <c r="B5" t="e">
        <v>#N/A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s="3">
        <v>3.5</v>
      </c>
      <c r="J5" s="3">
        <v>4.2</v>
      </c>
      <c r="K5">
        <v>83.974477530000001</v>
      </c>
    </row>
    <row r="6" spans="1:11" x14ac:dyDescent="0.3">
      <c r="A6" s="5">
        <v>2003</v>
      </c>
      <c r="B6" t="e">
        <v>#N/A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s="3">
        <v>3.8</v>
      </c>
      <c r="J6" s="3">
        <v>4.5</v>
      </c>
      <c r="K6">
        <v>85.130386540000003</v>
      </c>
    </row>
    <row r="7" spans="1:11" x14ac:dyDescent="0.3">
      <c r="A7" s="5">
        <v>2004</v>
      </c>
      <c r="B7" s="2">
        <v>3</v>
      </c>
      <c r="C7" t="e">
        <v>#N/A</v>
      </c>
      <c r="D7" t="e">
        <v>#N/A</v>
      </c>
      <c r="E7" t="e">
        <v>#N/A</v>
      </c>
      <c r="F7" t="e">
        <v>#N/A</v>
      </c>
      <c r="G7" t="e">
        <v>#N/A</v>
      </c>
      <c r="H7" t="e">
        <v>#N/A</v>
      </c>
      <c r="I7" s="3">
        <v>4.0999999999999996</v>
      </c>
      <c r="J7" s="3">
        <v>4.8499999999999996</v>
      </c>
      <c r="K7">
        <v>86.31403736</v>
      </c>
    </row>
    <row r="8" spans="1:11" x14ac:dyDescent="0.3">
      <c r="A8" s="5">
        <v>2005</v>
      </c>
      <c r="B8" s="2">
        <v>3</v>
      </c>
      <c r="C8" t="e">
        <v>#N/A</v>
      </c>
      <c r="D8" t="e">
        <v>#N/A</v>
      </c>
      <c r="E8" t="e">
        <v>#N/A</v>
      </c>
      <c r="F8" t="e">
        <v>#N/A</v>
      </c>
      <c r="G8" t="e">
        <v>#N/A</v>
      </c>
      <c r="H8" t="e">
        <v>#N/A</v>
      </c>
      <c r="I8" s="3">
        <v>4.25</v>
      </c>
      <c r="J8" s="3">
        <v>5.05</v>
      </c>
      <c r="K8">
        <v>88.117255409999999</v>
      </c>
    </row>
    <row r="9" spans="1:11" x14ac:dyDescent="0.3">
      <c r="A9" s="5">
        <v>2006</v>
      </c>
      <c r="B9" s="3">
        <v>3.3</v>
      </c>
      <c r="C9" t="e">
        <v>#N/A</v>
      </c>
      <c r="D9" t="e">
        <v>#N/A</v>
      </c>
      <c r="E9" t="e">
        <v>#N/A</v>
      </c>
      <c r="F9" t="e">
        <v>#N/A</v>
      </c>
      <c r="G9" t="e">
        <v>#N/A</v>
      </c>
      <c r="H9" t="e">
        <v>#N/A</v>
      </c>
      <c r="I9" s="3">
        <v>4.45</v>
      </c>
      <c r="J9" s="3">
        <v>5.35</v>
      </c>
      <c r="K9">
        <v>90.281117069999993</v>
      </c>
    </row>
    <row r="10" spans="1:11" x14ac:dyDescent="0.3">
      <c r="A10" s="5">
        <v>2007</v>
      </c>
      <c r="B10" s="3">
        <v>3.4</v>
      </c>
      <c r="C10" t="e">
        <v>#N/A</v>
      </c>
      <c r="D10" t="e">
        <v>#N/A</v>
      </c>
      <c r="E10" t="e">
        <v>#N/A</v>
      </c>
      <c r="F10" t="e">
        <v>#N/A</v>
      </c>
      <c r="G10" t="e">
        <v>#N/A</v>
      </c>
      <c r="H10" t="e">
        <v>#N/A</v>
      </c>
      <c r="I10" s="3">
        <v>4.5999999999999996</v>
      </c>
      <c r="J10" s="3">
        <v>5.52</v>
      </c>
      <c r="K10">
        <v>92.43573146</v>
      </c>
    </row>
    <row r="11" spans="1:11" x14ac:dyDescent="0.3">
      <c r="A11" s="5">
        <v>2008</v>
      </c>
      <c r="B11" s="3">
        <v>3.53</v>
      </c>
      <c r="C11" t="e">
        <v>#N/A</v>
      </c>
      <c r="D11" t="e">
        <v>#N/A</v>
      </c>
      <c r="E11" t="e">
        <v>#N/A</v>
      </c>
      <c r="F11" t="e">
        <v>#N/A</v>
      </c>
      <c r="G11" t="e">
        <v>#N/A</v>
      </c>
      <c r="H11" t="e">
        <v>#N/A</v>
      </c>
      <c r="I11" s="3">
        <v>4.7699999999999996</v>
      </c>
      <c r="J11" s="3">
        <v>5.73</v>
      </c>
      <c r="K11">
        <v>95.690771220000002</v>
      </c>
    </row>
    <row r="12" spans="1:11" x14ac:dyDescent="0.3">
      <c r="A12" s="5">
        <v>2009</v>
      </c>
      <c r="B12" s="3">
        <v>3.57</v>
      </c>
      <c r="C12" t="e">
        <v>#N/A</v>
      </c>
      <c r="D12" t="e">
        <v>#N/A</v>
      </c>
      <c r="E12" t="e">
        <v>#N/A</v>
      </c>
      <c r="F12" t="e">
        <v>#N/A</v>
      </c>
      <c r="G12" t="e">
        <v>#N/A</v>
      </c>
      <c r="H12" t="e">
        <v>#N/A</v>
      </c>
      <c r="I12" s="3">
        <v>4.83</v>
      </c>
      <c r="J12" s="3">
        <v>5.8</v>
      </c>
      <c r="K12">
        <v>97.567967449999998</v>
      </c>
    </row>
    <row r="13" spans="1:11" x14ac:dyDescent="0.3">
      <c r="A13" s="5">
        <v>2010</v>
      </c>
      <c r="B13" s="3">
        <v>3.64</v>
      </c>
      <c r="C13" s="3">
        <v>4.92</v>
      </c>
      <c r="D13" s="3">
        <v>5.93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>
        <v>100</v>
      </c>
    </row>
    <row r="14" spans="1:11" x14ac:dyDescent="0.3">
      <c r="A14" s="5">
        <v>2011</v>
      </c>
      <c r="B14" s="3">
        <v>3.68</v>
      </c>
      <c r="C14" s="3">
        <v>4.9800000000000004</v>
      </c>
      <c r="D14" s="3">
        <v>6.08</v>
      </c>
      <c r="E14" t="e">
        <v>#N/A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>
        <v>103.8561124</v>
      </c>
    </row>
    <row r="15" spans="1:11" x14ac:dyDescent="0.3">
      <c r="A15" s="5">
        <v>2012</v>
      </c>
      <c r="B15" s="3">
        <v>3.68</v>
      </c>
      <c r="C15" s="3">
        <v>4.9800000000000004</v>
      </c>
      <c r="D15" s="3">
        <v>6.19</v>
      </c>
      <c r="E15" t="e">
        <v>#N/A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>
        <v>106.5285741</v>
      </c>
    </row>
    <row r="16" spans="1:11" x14ac:dyDescent="0.3">
      <c r="A16" s="5">
        <v>2013</v>
      </c>
      <c r="B16" s="3">
        <v>3.72</v>
      </c>
      <c r="C16" s="3">
        <v>5.03</v>
      </c>
      <c r="D16" s="3">
        <v>6.31</v>
      </c>
      <c r="E16" t="e">
        <v>#N/A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>
        <v>108.9698539</v>
      </c>
    </row>
    <row r="17" spans="1:11" x14ac:dyDescent="0.3">
      <c r="A17" s="5">
        <v>2014</v>
      </c>
      <c r="B17" s="3">
        <v>3.79</v>
      </c>
      <c r="C17" s="3">
        <v>5.13</v>
      </c>
      <c r="D17" s="3">
        <v>6.5</v>
      </c>
      <c r="E17" t="e">
        <v>#N/A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>
        <v>110.5511374</v>
      </c>
    </row>
    <row r="18" spans="1:11" x14ac:dyDescent="0.3">
      <c r="A18" s="5">
        <v>2015</v>
      </c>
      <c r="B18" s="3">
        <v>3.87</v>
      </c>
      <c r="C18" s="3">
        <v>5.3</v>
      </c>
      <c r="D18" s="3">
        <v>6.7</v>
      </c>
      <c r="E18" t="e">
        <v>#N/A</v>
      </c>
      <c r="F18" t="e">
        <v>#N/A</v>
      </c>
      <c r="G18" t="e">
        <v>#N/A</v>
      </c>
      <c r="H18" t="e">
        <v>#N/A</v>
      </c>
      <c r="I18" t="e">
        <v>#N/A</v>
      </c>
      <c r="J18" t="e">
        <v>#N/A</v>
      </c>
      <c r="K18">
        <v>110.9580174</v>
      </c>
    </row>
    <row r="19" spans="1:11" x14ac:dyDescent="0.3">
      <c r="A19" s="5">
        <v>2016</v>
      </c>
      <c r="B19" s="3">
        <v>3.87</v>
      </c>
      <c r="C19" s="3">
        <v>5.3</v>
      </c>
      <c r="D19" t="e">
        <v>#N/A</v>
      </c>
      <c r="E19" t="e">
        <v>#N/A</v>
      </c>
      <c r="F19" t="e">
        <v>#N/A</v>
      </c>
      <c r="G19" s="3">
        <v>6.7</v>
      </c>
      <c r="H19" s="3">
        <v>7.2</v>
      </c>
      <c r="I19" t="e">
        <v>#N/A</v>
      </c>
      <c r="J19" t="e">
        <v>#N/A</v>
      </c>
      <c r="K19">
        <v>112.0769373</v>
      </c>
    </row>
    <row r="20" spans="1:11" x14ac:dyDescent="0.3">
      <c r="A20" s="5">
        <v>2017</v>
      </c>
      <c r="B20" s="3">
        <v>4.05</v>
      </c>
      <c r="C20" s="3">
        <v>5.6</v>
      </c>
      <c r="D20" t="e">
        <v>#N/A</v>
      </c>
      <c r="E20" t="e">
        <v>#N/A</v>
      </c>
      <c r="F20" t="e">
        <v>#N/A</v>
      </c>
      <c r="G20" s="3">
        <v>7.05</v>
      </c>
      <c r="H20" s="3">
        <v>7.5</v>
      </c>
      <c r="I20" t="e">
        <v>#N/A</v>
      </c>
      <c r="J20" t="e">
        <v>#N/A</v>
      </c>
      <c r="K20">
        <v>114.9435916</v>
      </c>
    </row>
    <row r="21" spans="1:11" x14ac:dyDescent="0.3">
      <c r="A21" s="5">
        <v>2018</v>
      </c>
      <c r="B21" s="3">
        <v>4.2</v>
      </c>
      <c r="C21" s="3">
        <v>5.9</v>
      </c>
      <c r="D21" t="e">
        <v>#N/A</v>
      </c>
      <c r="E21" t="e">
        <v>#N/A</v>
      </c>
      <c r="F21" t="e">
        <v>#N/A</v>
      </c>
      <c r="G21" s="3">
        <v>7.38</v>
      </c>
      <c r="H21" s="3">
        <v>7.83</v>
      </c>
      <c r="I21" t="e">
        <v>#N/A</v>
      </c>
      <c r="J21" t="e">
        <v>#N/A</v>
      </c>
      <c r="K21">
        <v>117.5790642</v>
      </c>
    </row>
    <row r="22" spans="1:11" x14ac:dyDescent="0.3">
      <c r="A22" s="5">
        <v>2019</v>
      </c>
      <c r="B22" s="3">
        <v>4.3499999999999996</v>
      </c>
      <c r="C22" s="3">
        <v>6.15</v>
      </c>
      <c r="D22" t="e">
        <v>#N/A</v>
      </c>
      <c r="E22" t="e">
        <v>#N/A</v>
      </c>
      <c r="F22" t="e">
        <v>#N/A</v>
      </c>
      <c r="G22" s="3">
        <v>7.7</v>
      </c>
      <c r="H22" s="3">
        <v>8.2100000000000009</v>
      </c>
      <c r="I22" t="e">
        <v>#N/A</v>
      </c>
      <c r="J22" t="e">
        <v>#N/A</v>
      </c>
      <c r="K22">
        <v>119.62271130000001</v>
      </c>
    </row>
    <row r="23" spans="1:11" x14ac:dyDescent="0.3">
      <c r="A23" s="5">
        <v>2020</v>
      </c>
      <c r="B23" s="3">
        <v>4.55</v>
      </c>
      <c r="C23" s="3">
        <v>6.45</v>
      </c>
      <c r="D23" t="e">
        <v>#N/A</v>
      </c>
      <c r="E23" t="e">
        <v>#N/A</v>
      </c>
      <c r="F23" t="e">
        <v>#N/A</v>
      </c>
      <c r="G23" s="3">
        <v>8.1999999999999993</v>
      </c>
      <c r="H23" s="3">
        <v>8.7200000000000006</v>
      </c>
      <c r="I23" t="e">
        <v>#N/A</v>
      </c>
      <c r="J23" t="e">
        <v>#N/A</v>
      </c>
      <c r="K23">
        <v>120.8063621</v>
      </c>
    </row>
    <row r="24" spans="1:11" x14ac:dyDescent="0.3">
      <c r="A24" s="5">
        <v>2021</v>
      </c>
      <c r="B24" s="3">
        <v>4.62</v>
      </c>
      <c r="C24" s="3">
        <v>6.56</v>
      </c>
      <c r="D24" t="e">
        <v>#N/A</v>
      </c>
      <c r="E24" t="e">
        <v>#N/A</v>
      </c>
      <c r="F24" t="e">
        <v>#N/A</v>
      </c>
      <c r="G24" s="3">
        <v>8.36</v>
      </c>
      <c r="H24" s="3">
        <v>8.91</v>
      </c>
      <c r="I24" t="e">
        <v>#N/A</v>
      </c>
      <c r="J24" t="e">
        <v>#N/A</v>
      </c>
      <c r="K24">
        <v>123.84871459999999</v>
      </c>
    </row>
    <row r="25" spans="1:11" x14ac:dyDescent="0.3">
      <c r="A25" s="5">
        <v>2022</v>
      </c>
      <c r="B25" s="3">
        <v>4.8099999999999996</v>
      </c>
      <c r="C25" s="3">
        <v>6.83</v>
      </c>
      <c r="D25" t="e">
        <v>#N/A</v>
      </c>
      <c r="E25" s="3">
        <v>9.18</v>
      </c>
      <c r="F25" s="3">
        <v>9.5</v>
      </c>
      <c r="G25" t="e">
        <v>#N/A</v>
      </c>
      <c r="H25" t="e">
        <v>#N/A</v>
      </c>
      <c r="I25" t="e">
        <v>#N/A</v>
      </c>
      <c r="J25" t="e">
        <v>#N/A</v>
      </c>
      <c r="K25">
        <v>133.6600703</v>
      </c>
    </row>
    <row r="26" spans="1:11" x14ac:dyDescent="0.3">
      <c r="A26" s="5">
        <v>2023</v>
      </c>
      <c r="B26" s="3">
        <v>5.28</v>
      </c>
      <c r="C26" s="3">
        <v>7.49</v>
      </c>
      <c r="D26" t="e">
        <v>#N/A</v>
      </c>
      <c r="E26" s="3">
        <v>10.18</v>
      </c>
      <c r="F26" s="3">
        <v>10.42</v>
      </c>
      <c r="G26" t="e">
        <v>#N/A</v>
      </c>
      <c r="H26" t="e">
        <v>#N/A</v>
      </c>
      <c r="I26" t="e">
        <v>#N/A</v>
      </c>
      <c r="J26" t="e">
        <v>#N/A</v>
      </c>
      <c r="K26">
        <v>142.74089140000001</v>
      </c>
    </row>
    <row r="27" spans="1:11" x14ac:dyDescent="0.3">
      <c r="A27" s="5">
        <v>2024</v>
      </c>
      <c r="B27" s="3">
        <v>6.4</v>
      </c>
      <c r="C27" s="3">
        <v>8.6</v>
      </c>
      <c r="D27" s="3">
        <v>11.44</v>
      </c>
      <c r="E27" t="e">
        <v>#N/A</v>
      </c>
      <c r="F27" t="e">
        <v>#N/A</v>
      </c>
      <c r="G27" t="e">
        <v>#N/A</v>
      </c>
      <c r="H27" t="e">
        <v>#N/A</v>
      </c>
      <c r="I27" t="e">
        <v>#N/A</v>
      </c>
      <c r="J27" t="e">
        <v>#N/A</v>
      </c>
      <c r="K27">
        <v>147.41076380000001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2E92B-9DD8-47E6-A407-8E79DB563530}">
  <dimension ref="A1:K27"/>
  <sheetViews>
    <sheetView workbookViewId="0">
      <selection activeCell="D13" sqref="D13"/>
    </sheetView>
  </sheetViews>
  <sheetFormatPr defaultRowHeight="14.4" x14ac:dyDescent="0.3"/>
  <cols>
    <col min="10" max="10" width="8.88671875" customWidth="1"/>
  </cols>
  <sheetData>
    <row r="1" spans="1:11" ht="28.8" x14ac:dyDescent="0.3">
      <c r="A1" s="4" t="s">
        <v>10</v>
      </c>
      <c r="B1" s="4" t="s">
        <v>0</v>
      </c>
      <c r="C1" s="4">
        <v>18</v>
      </c>
      <c r="D1" s="4">
        <v>19</v>
      </c>
      <c r="E1" s="4">
        <v>20</v>
      </c>
      <c r="F1" s="4">
        <v>21</v>
      </c>
      <c r="G1" s="4">
        <v>22</v>
      </c>
      <c r="H1" s="4">
        <v>23</v>
      </c>
      <c r="I1" s="4">
        <v>24</v>
      </c>
      <c r="J1" s="4" t="s">
        <v>8</v>
      </c>
      <c r="K1" s="1" t="s">
        <v>11</v>
      </c>
    </row>
    <row r="2" spans="1:11" x14ac:dyDescent="0.3">
      <c r="A2" s="5">
        <v>1999</v>
      </c>
      <c r="B2" t="e">
        <v>#N/A</v>
      </c>
      <c r="C2" s="5">
        <v>3</v>
      </c>
      <c r="D2" s="5">
        <v>3</v>
      </c>
      <c r="E2" s="5">
        <v>3</v>
      </c>
      <c r="F2" s="5">
        <v>3</v>
      </c>
      <c r="G2" s="5">
        <v>3.6</v>
      </c>
      <c r="H2" s="5">
        <v>3.6</v>
      </c>
      <c r="I2" s="5">
        <v>3.6</v>
      </c>
      <c r="J2" s="5">
        <v>3.6</v>
      </c>
      <c r="K2">
        <v>80.515997780000006</v>
      </c>
    </row>
    <row r="3" spans="1:11" x14ac:dyDescent="0.3">
      <c r="A3" s="5">
        <v>2000</v>
      </c>
      <c r="B3" t="e">
        <v>#N/A</v>
      </c>
      <c r="C3" s="5">
        <v>3.2</v>
      </c>
      <c r="D3" s="5">
        <v>3.2</v>
      </c>
      <c r="E3" s="5">
        <v>3.2</v>
      </c>
      <c r="F3" s="5">
        <v>3.2</v>
      </c>
      <c r="G3" s="5">
        <v>3.7</v>
      </c>
      <c r="H3" s="5">
        <v>3.7</v>
      </c>
      <c r="I3" s="5">
        <v>3.7</v>
      </c>
      <c r="J3" s="5">
        <v>3.7</v>
      </c>
      <c r="K3">
        <v>81.468466800000002</v>
      </c>
    </row>
    <row r="4" spans="1:11" x14ac:dyDescent="0.3">
      <c r="A4" s="5">
        <v>2001</v>
      </c>
      <c r="B4" t="e">
        <v>#N/A</v>
      </c>
      <c r="C4" s="5">
        <v>3.5</v>
      </c>
      <c r="D4" s="5">
        <v>3.5</v>
      </c>
      <c r="E4" s="5">
        <v>3.5</v>
      </c>
      <c r="F4" s="5">
        <v>3.5</v>
      </c>
      <c r="G4" s="5">
        <v>4.0999999999999996</v>
      </c>
      <c r="H4" s="5">
        <v>4.0999999999999996</v>
      </c>
      <c r="I4" s="5">
        <v>4.0999999999999996</v>
      </c>
      <c r="J4" s="5">
        <v>4.0999999999999996</v>
      </c>
      <c r="K4">
        <v>82.716848529999993</v>
      </c>
    </row>
    <row r="5" spans="1:11" x14ac:dyDescent="0.3">
      <c r="A5" s="5">
        <v>2002</v>
      </c>
      <c r="B5" t="e">
        <v>#N/A</v>
      </c>
      <c r="C5" s="5">
        <v>3.5</v>
      </c>
      <c r="D5" s="5">
        <v>3.5</v>
      </c>
      <c r="E5" s="5">
        <v>3.5</v>
      </c>
      <c r="F5" s="5">
        <v>3.5</v>
      </c>
      <c r="G5" s="5">
        <v>4.2</v>
      </c>
      <c r="H5" s="5">
        <v>4.2</v>
      </c>
      <c r="I5" s="5">
        <v>4.2</v>
      </c>
      <c r="J5" s="5">
        <v>4.2</v>
      </c>
      <c r="K5">
        <v>83.974477530000001</v>
      </c>
    </row>
    <row r="6" spans="1:11" x14ac:dyDescent="0.3">
      <c r="A6" s="5">
        <v>2003</v>
      </c>
      <c r="B6" t="e">
        <v>#N/A</v>
      </c>
      <c r="C6" s="5">
        <v>3.8</v>
      </c>
      <c r="D6" s="5">
        <v>3.8</v>
      </c>
      <c r="E6" s="5">
        <v>3.8</v>
      </c>
      <c r="F6" s="5">
        <v>3.8</v>
      </c>
      <c r="G6" s="5">
        <v>4.5</v>
      </c>
      <c r="H6" s="5">
        <v>4.5</v>
      </c>
      <c r="I6" s="5">
        <v>4.5</v>
      </c>
      <c r="J6" s="5">
        <v>4.5</v>
      </c>
      <c r="K6">
        <v>85.130386540000003</v>
      </c>
    </row>
    <row r="7" spans="1:11" x14ac:dyDescent="0.3">
      <c r="A7" s="5">
        <v>2004</v>
      </c>
      <c r="B7" s="5">
        <v>3</v>
      </c>
      <c r="C7" s="5">
        <v>4.0999999999999996</v>
      </c>
      <c r="D7" s="5">
        <v>4.0999999999999996</v>
      </c>
      <c r="E7" s="5">
        <v>4.0999999999999996</v>
      </c>
      <c r="F7" s="5">
        <v>4.0999999999999996</v>
      </c>
      <c r="G7" s="5">
        <v>4.8499999999999996</v>
      </c>
      <c r="H7" s="5">
        <v>4.8499999999999996</v>
      </c>
      <c r="I7" s="5">
        <v>4.8499999999999996</v>
      </c>
      <c r="J7" s="5">
        <v>4.8499999999999996</v>
      </c>
      <c r="K7">
        <v>86.31403736</v>
      </c>
    </row>
    <row r="8" spans="1:11" x14ac:dyDescent="0.3">
      <c r="A8" s="5">
        <v>2005</v>
      </c>
      <c r="B8" s="5">
        <v>3</v>
      </c>
      <c r="C8" s="5">
        <v>4.25</v>
      </c>
      <c r="D8" s="5">
        <v>4.25</v>
      </c>
      <c r="E8" s="5">
        <v>4.25</v>
      </c>
      <c r="F8" s="5">
        <v>4.25</v>
      </c>
      <c r="G8" s="5">
        <v>5.05</v>
      </c>
      <c r="H8" s="5">
        <v>5.05</v>
      </c>
      <c r="I8" s="5">
        <v>5.05</v>
      </c>
      <c r="J8" s="5">
        <v>5.05</v>
      </c>
      <c r="K8">
        <v>88.117255409999999</v>
      </c>
    </row>
    <row r="9" spans="1:11" x14ac:dyDescent="0.3">
      <c r="A9" s="5">
        <v>2006</v>
      </c>
      <c r="B9" s="5">
        <v>3.3</v>
      </c>
      <c r="C9" s="5">
        <v>4.45</v>
      </c>
      <c r="D9" s="5">
        <v>4.45</v>
      </c>
      <c r="E9" s="5">
        <v>4.45</v>
      </c>
      <c r="F9" s="5">
        <v>4.45</v>
      </c>
      <c r="G9" s="5">
        <v>5.35</v>
      </c>
      <c r="H9" s="5">
        <v>5.35</v>
      </c>
      <c r="I9" s="5">
        <v>5.35</v>
      </c>
      <c r="J9" s="5">
        <v>5.35</v>
      </c>
      <c r="K9">
        <v>90.281117069999993</v>
      </c>
    </row>
    <row r="10" spans="1:11" x14ac:dyDescent="0.3">
      <c r="A10" s="5">
        <v>2007</v>
      </c>
      <c r="B10" s="5">
        <v>3.4</v>
      </c>
      <c r="C10" s="5">
        <v>4.5999999999999996</v>
      </c>
      <c r="D10" s="5">
        <v>4.5999999999999996</v>
      </c>
      <c r="E10" s="5">
        <v>4.5999999999999996</v>
      </c>
      <c r="F10" s="5">
        <v>4.5999999999999996</v>
      </c>
      <c r="G10" s="5">
        <v>5.52</v>
      </c>
      <c r="H10" s="5">
        <v>5.52</v>
      </c>
      <c r="I10" s="5">
        <v>5.52</v>
      </c>
      <c r="J10" s="5">
        <v>5.52</v>
      </c>
      <c r="K10">
        <v>92.43573146</v>
      </c>
    </row>
    <row r="11" spans="1:11" x14ac:dyDescent="0.3">
      <c r="A11" s="5">
        <v>2008</v>
      </c>
      <c r="B11" s="5">
        <v>3.53</v>
      </c>
      <c r="C11" s="5">
        <v>4.7699999999999996</v>
      </c>
      <c r="D11" s="5">
        <v>4.7699999999999996</v>
      </c>
      <c r="E11" s="5">
        <v>4.7699999999999996</v>
      </c>
      <c r="F11" s="5">
        <v>4.7699999999999996</v>
      </c>
      <c r="G11" s="5">
        <v>5.73</v>
      </c>
      <c r="H11" s="5">
        <v>5.73</v>
      </c>
      <c r="I11" s="5">
        <v>5.73</v>
      </c>
      <c r="J11" s="5">
        <v>5.73</v>
      </c>
      <c r="K11">
        <v>95.690771220000002</v>
      </c>
    </row>
    <row r="12" spans="1:11" x14ac:dyDescent="0.3">
      <c r="A12" s="5">
        <v>2009</v>
      </c>
      <c r="B12" s="5">
        <v>3.57</v>
      </c>
      <c r="C12" s="5">
        <v>4.83</v>
      </c>
      <c r="D12" s="5">
        <v>4.83</v>
      </c>
      <c r="E12" s="5">
        <v>4.83</v>
      </c>
      <c r="F12" s="5">
        <v>4.83</v>
      </c>
      <c r="G12" s="5">
        <v>5.8</v>
      </c>
      <c r="H12" s="5">
        <v>5.8</v>
      </c>
      <c r="I12" s="5">
        <v>5.8</v>
      </c>
      <c r="J12" s="5">
        <v>5.8</v>
      </c>
      <c r="K12">
        <v>97.567967449999998</v>
      </c>
    </row>
    <row r="13" spans="1:11" x14ac:dyDescent="0.3">
      <c r="A13" s="5">
        <v>2010</v>
      </c>
      <c r="B13" s="5">
        <v>3.64</v>
      </c>
      <c r="C13" s="5">
        <v>4.92</v>
      </c>
      <c r="D13" s="5">
        <v>4.92</v>
      </c>
      <c r="E13" s="5">
        <v>4.92</v>
      </c>
      <c r="F13" s="5">
        <v>5.93</v>
      </c>
      <c r="G13" s="5">
        <v>5.93</v>
      </c>
      <c r="H13" s="5">
        <v>5.93</v>
      </c>
      <c r="I13" s="5">
        <v>5.93</v>
      </c>
      <c r="J13" s="5">
        <v>5.93</v>
      </c>
      <c r="K13">
        <v>100</v>
      </c>
    </row>
    <row r="14" spans="1:11" x14ac:dyDescent="0.3">
      <c r="A14" s="5">
        <v>2011</v>
      </c>
      <c r="B14" s="5">
        <v>3.68</v>
      </c>
      <c r="C14" s="5">
        <v>4.9800000000000004</v>
      </c>
      <c r="D14" s="5">
        <v>4.9800000000000004</v>
      </c>
      <c r="E14" s="5">
        <v>4.9800000000000004</v>
      </c>
      <c r="F14" s="5">
        <v>6.08</v>
      </c>
      <c r="G14" s="5">
        <v>6.08</v>
      </c>
      <c r="H14" s="5">
        <v>6.08</v>
      </c>
      <c r="I14" s="5">
        <v>6.08</v>
      </c>
      <c r="J14" s="5">
        <v>6.08</v>
      </c>
      <c r="K14">
        <v>103.8561124</v>
      </c>
    </row>
    <row r="15" spans="1:11" x14ac:dyDescent="0.3">
      <c r="A15" s="5">
        <v>2012</v>
      </c>
      <c r="B15" s="5">
        <v>3.68</v>
      </c>
      <c r="C15" s="5">
        <v>4.9800000000000004</v>
      </c>
      <c r="D15" s="5">
        <v>4.9800000000000004</v>
      </c>
      <c r="E15" s="5">
        <v>4.9800000000000004</v>
      </c>
      <c r="F15" s="5">
        <v>6.19</v>
      </c>
      <c r="G15" s="5">
        <v>6.19</v>
      </c>
      <c r="H15" s="5">
        <v>6.19</v>
      </c>
      <c r="I15" s="5">
        <v>6.19</v>
      </c>
      <c r="J15" s="5">
        <v>6.19</v>
      </c>
      <c r="K15">
        <v>106.5285741</v>
      </c>
    </row>
    <row r="16" spans="1:11" x14ac:dyDescent="0.3">
      <c r="A16" s="5">
        <v>2013</v>
      </c>
      <c r="B16" s="5">
        <v>3.72</v>
      </c>
      <c r="C16" s="5">
        <v>5.03</v>
      </c>
      <c r="D16" s="5">
        <v>5.03</v>
      </c>
      <c r="E16" s="5">
        <v>5.03</v>
      </c>
      <c r="F16" s="5">
        <v>6.31</v>
      </c>
      <c r="G16" s="5">
        <v>6.31</v>
      </c>
      <c r="H16" s="5">
        <v>6.31</v>
      </c>
      <c r="I16" s="5">
        <v>6.31</v>
      </c>
      <c r="J16" s="5">
        <v>6.31</v>
      </c>
      <c r="K16">
        <v>108.9698539</v>
      </c>
    </row>
    <row r="17" spans="1:11" x14ac:dyDescent="0.3">
      <c r="A17" s="5">
        <v>2014</v>
      </c>
      <c r="B17" s="5">
        <v>3.79</v>
      </c>
      <c r="C17" s="5">
        <v>5.13</v>
      </c>
      <c r="D17" s="5">
        <v>5.13</v>
      </c>
      <c r="E17" s="5">
        <v>5.13</v>
      </c>
      <c r="F17" s="5">
        <v>6.5</v>
      </c>
      <c r="G17" s="5">
        <v>6.5</v>
      </c>
      <c r="H17" s="5">
        <v>6.5</v>
      </c>
      <c r="I17" s="5">
        <v>6.5</v>
      </c>
      <c r="J17" s="5">
        <v>6.5</v>
      </c>
      <c r="K17">
        <v>110.5511374</v>
      </c>
    </row>
    <row r="18" spans="1:11" x14ac:dyDescent="0.3">
      <c r="A18" s="5">
        <v>2015</v>
      </c>
      <c r="B18" s="5">
        <v>3.87</v>
      </c>
      <c r="C18" s="5">
        <v>5.3</v>
      </c>
      <c r="D18" s="5">
        <v>5.3</v>
      </c>
      <c r="E18" s="5">
        <v>5.3</v>
      </c>
      <c r="F18" s="5">
        <v>6.7</v>
      </c>
      <c r="G18" s="5">
        <v>6.7</v>
      </c>
      <c r="H18" s="5">
        <v>6.7</v>
      </c>
      <c r="I18" s="5">
        <v>6.7</v>
      </c>
      <c r="J18" s="5">
        <v>6.7</v>
      </c>
      <c r="K18">
        <v>110.9580174</v>
      </c>
    </row>
    <row r="19" spans="1:11" x14ac:dyDescent="0.3">
      <c r="A19" s="5">
        <v>2016</v>
      </c>
      <c r="B19" s="5">
        <v>3.87</v>
      </c>
      <c r="C19" s="5">
        <v>5.3</v>
      </c>
      <c r="D19" s="5">
        <v>5.3</v>
      </c>
      <c r="E19" s="5">
        <v>5.3</v>
      </c>
      <c r="F19" s="5">
        <v>6.7</v>
      </c>
      <c r="G19" s="5">
        <v>6.7</v>
      </c>
      <c r="H19" s="5">
        <v>6.7</v>
      </c>
      <c r="I19" s="5">
        <v>6.7</v>
      </c>
      <c r="J19" s="5">
        <v>7.2</v>
      </c>
      <c r="K19">
        <v>112.0769373</v>
      </c>
    </row>
    <row r="20" spans="1:11" x14ac:dyDescent="0.3">
      <c r="A20" s="5">
        <v>2017</v>
      </c>
      <c r="B20" s="5">
        <v>4.05</v>
      </c>
      <c r="C20" s="5">
        <v>5.6</v>
      </c>
      <c r="D20" s="5">
        <v>5.6</v>
      </c>
      <c r="E20" s="5">
        <v>5.6</v>
      </c>
      <c r="F20" s="5">
        <v>7.05</v>
      </c>
      <c r="G20" s="5">
        <v>7.05</v>
      </c>
      <c r="H20" s="5">
        <v>7.05</v>
      </c>
      <c r="I20" s="5">
        <v>7.05</v>
      </c>
      <c r="J20" s="5">
        <v>7.5</v>
      </c>
      <c r="K20">
        <v>114.9435916</v>
      </c>
    </row>
    <row r="21" spans="1:11" x14ac:dyDescent="0.3">
      <c r="A21" s="5">
        <v>2018</v>
      </c>
      <c r="B21" s="5">
        <v>4.2</v>
      </c>
      <c r="C21" s="5">
        <v>5.9</v>
      </c>
      <c r="D21" s="5">
        <v>5.9</v>
      </c>
      <c r="E21" s="5">
        <v>5.9</v>
      </c>
      <c r="F21" s="5">
        <v>7.38</v>
      </c>
      <c r="G21" s="5">
        <v>7.38</v>
      </c>
      <c r="H21" s="5">
        <v>7.38</v>
      </c>
      <c r="I21" s="5">
        <v>7.38</v>
      </c>
      <c r="J21" s="5">
        <v>7.83</v>
      </c>
      <c r="K21">
        <v>117.5790642</v>
      </c>
    </row>
    <row r="22" spans="1:11" x14ac:dyDescent="0.3">
      <c r="A22" s="5">
        <v>2019</v>
      </c>
      <c r="B22" s="5">
        <v>4.3499999999999996</v>
      </c>
      <c r="C22" s="5">
        <v>6.15</v>
      </c>
      <c r="D22" s="5">
        <v>6.15</v>
      </c>
      <c r="E22" s="5">
        <v>6.15</v>
      </c>
      <c r="F22" s="5">
        <v>7.7</v>
      </c>
      <c r="G22" s="5">
        <v>7.7</v>
      </c>
      <c r="H22" s="5">
        <v>7.7</v>
      </c>
      <c r="I22" s="5">
        <v>7.7</v>
      </c>
      <c r="J22" s="5">
        <v>8.2100000000000009</v>
      </c>
      <c r="K22">
        <v>119.62271130000001</v>
      </c>
    </row>
    <row r="23" spans="1:11" x14ac:dyDescent="0.3">
      <c r="A23" s="5">
        <v>2020</v>
      </c>
      <c r="B23" s="5">
        <v>4.55</v>
      </c>
      <c r="C23" s="5">
        <v>6.45</v>
      </c>
      <c r="D23" s="5">
        <v>6.45</v>
      </c>
      <c r="E23" s="5">
        <v>6.45</v>
      </c>
      <c r="F23" s="5">
        <v>8.1999999999999993</v>
      </c>
      <c r="G23" s="5">
        <v>8.1999999999999993</v>
      </c>
      <c r="H23" s="5">
        <v>8.1999999999999993</v>
      </c>
      <c r="I23" s="5">
        <v>8.1999999999999993</v>
      </c>
      <c r="J23" s="5">
        <v>8.7200000000000006</v>
      </c>
      <c r="K23">
        <v>120.8063621</v>
      </c>
    </row>
    <row r="24" spans="1:11" x14ac:dyDescent="0.3">
      <c r="A24" s="5">
        <v>2021</v>
      </c>
      <c r="B24" s="5">
        <v>4.62</v>
      </c>
      <c r="C24" s="5">
        <v>6.56</v>
      </c>
      <c r="D24" s="5">
        <v>6.56</v>
      </c>
      <c r="E24" s="5">
        <v>6.56</v>
      </c>
      <c r="F24" s="5">
        <v>8.36</v>
      </c>
      <c r="G24" s="5">
        <v>8.36</v>
      </c>
      <c r="H24" s="5">
        <v>8.91</v>
      </c>
      <c r="I24" s="5">
        <v>8.91</v>
      </c>
      <c r="J24" s="5">
        <v>8.91</v>
      </c>
      <c r="K24">
        <v>123.84871459999999</v>
      </c>
    </row>
    <row r="25" spans="1:11" x14ac:dyDescent="0.3">
      <c r="A25" s="5">
        <v>2022</v>
      </c>
      <c r="B25" s="5">
        <v>4.8099999999999996</v>
      </c>
      <c r="C25" s="5">
        <v>6.83</v>
      </c>
      <c r="D25" s="5">
        <v>6.83</v>
      </c>
      <c r="E25" s="5">
        <v>6.83</v>
      </c>
      <c r="F25" s="5">
        <v>9.18</v>
      </c>
      <c r="G25" s="5">
        <v>9.18</v>
      </c>
      <c r="H25" s="5">
        <v>9.5</v>
      </c>
      <c r="I25" s="5">
        <v>9.5</v>
      </c>
      <c r="J25" s="5">
        <v>9.5</v>
      </c>
      <c r="K25">
        <v>133.6600703</v>
      </c>
    </row>
    <row r="26" spans="1:11" x14ac:dyDescent="0.3">
      <c r="A26" s="5">
        <v>2023</v>
      </c>
      <c r="B26" s="5">
        <v>5.28</v>
      </c>
      <c r="C26" s="5">
        <v>7.49</v>
      </c>
      <c r="D26" s="5">
        <v>7.49</v>
      </c>
      <c r="E26" s="5">
        <v>7.49</v>
      </c>
      <c r="F26" s="5">
        <v>10.18</v>
      </c>
      <c r="G26" s="5">
        <v>10.18</v>
      </c>
      <c r="H26" s="5">
        <v>10.42</v>
      </c>
      <c r="I26" s="5">
        <v>10.42</v>
      </c>
      <c r="J26" s="5">
        <v>10.42</v>
      </c>
      <c r="K26">
        <v>142.74089140000001</v>
      </c>
    </row>
    <row r="27" spans="1:11" x14ac:dyDescent="0.3">
      <c r="A27" s="5">
        <v>2024</v>
      </c>
      <c r="B27" s="5">
        <v>6.4</v>
      </c>
      <c r="C27" s="5">
        <v>8.6</v>
      </c>
      <c r="D27" s="5">
        <v>8.6</v>
      </c>
      <c r="E27" s="5">
        <v>8.6</v>
      </c>
      <c r="F27" s="5">
        <v>11.44</v>
      </c>
      <c r="G27" s="5">
        <v>11.44</v>
      </c>
      <c r="H27" s="5">
        <v>11.44</v>
      </c>
      <c r="I27" s="5">
        <v>11.44</v>
      </c>
      <c r="J27" s="5">
        <v>11.44</v>
      </c>
      <c r="K27">
        <v>147.41076380000001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27AA-F26B-430C-8B96-5327E2504D7E}">
  <dimension ref="A1:J27"/>
  <sheetViews>
    <sheetView workbookViewId="0">
      <selection activeCell="N18" sqref="N18"/>
    </sheetView>
  </sheetViews>
  <sheetFormatPr defaultRowHeight="14.4" x14ac:dyDescent="0.3"/>
  <cols>
    <col min="4" max="4" width="11.44140625" customWidth="1"/>
    <col min="6" max="6" width="11.33203125" customWidth="1"/>
    <col min="7" max="7" width="10.33203125" customWidth="1"/>
    <col min="8" max="8" width="11.77734375" customWidth="1"/>
    <col min="10" max="10" width="12.109375" customWidth="1"/>
  </cols>
  <sheetData>
    <row r="1" spans="1:10" x14ac:dyDescent="0.3">
      <c r="A1" t="s">
        <v>10</v>
      </c>
      <c r="B1" s="1" t="s">
        <v>0</v>
      </c>
      <c r="C1" s="1" t="s">
        <v>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x14ac:dyDescent="0.3">
      <c r="A2" s="5">
        <v>1999</v>
      </c>
      <c r="B2" t="e">
        <f>IF(ISNA(nom_unconverted!B2),NA(),nom_unconverted!B2/nom_unconverted!$K2*100)</f>
        <v>#N/A</v>
      </c>
      <c r="C2" t="e">
        <f>IF(ISNA(nom_unconverted!C2),NA(),nom_unconverted!C2/nom_unconverted!$K2*100)</f>
        <v>#N/A</v>
      </c>
      <c r="D2" t="e">
        <f>IF(ISNA(nom_unconverted!D2),NA(),nom_unconverted!D2/nom_unconverted!$K2*100)</f>
        <v>#N/A</v>
      </c>
      <c r="E2" t="e">
        <f>IF(ISNA(nom_unconverted!E2),NA(),nom_unconverted!E2/nom_unconverted!$K2*100)</f>
        <v>#N/A</v>
      </c>
      <c r="F2" t="e">
        <f>IF(ISNA(nom_unconverted!F2),NA(),nom_unconverted!F2/nom_unconverted!$K2*100)</f>
        <v>#N/A</v>
      </c>
      <c r="G2" t="e">
        <f>IF(ISNA(nom_unconverted!G2),NA(),nom_unconverted!G2/nom_unconverted!$K2*100)</f>
        <v>#N/A</v>
      </c>
      <c r="H2" t="e">
        <f>IF(ISNA(nom_unconverted!H2),NA(),nom_unconverted!H2/nom_unconverted!$K2*100)</f>
        <v>#N/A</v>
      </c>
      <c r="I2">
        <f>IF(ISNA(nom_unconverted!I2),NA(),nom_unconverted!I2/nom_unconverted!$K2*100)</f>
        <v>3.7259676122962895</v>
      </c>
      <c r="J2">
        <f>nom_unconverted!J2/nom_unconverted!$K2*100</f>
        <v>4.4711611347555484</v>
      </c>
    </row>
    <row r="3" spans="1:10" x14ac:dyDescent="0.3">
      <c r="A3" s="5">
        <v>2000</v>
      </c>
      <c r="B3" t="e">
        <f>IF(ISNA(nom_unconverted!B3),NA(),nom_unconverted!B3/nom_unconverted!$K3*100)</f>
        <v>#N/A</v>
      </c>
      <c r="C3" t="e">
        <f>IF(ISNA(nom_unconverted!C3),NA(),nom_unconverted!C3/nom_unconverted!$K3*100)</f>
        <v>#N/A</v>
      </c>
      <c r="D3" t="e">
        <f>IF(ISNA(nom_unconverted!D3),NA(),nom_unconverted!D3/nom_unconverted!$K3*100)</f>
        <v>#N/A</v>
      </c>
      <c r="E3" t="e">
        <f>IF(ISNA(nom_unconverted!E3),NA(),nom_unconverted!E3/nom_unconverted!$K3*100)</f>
        <v>#N/A</v>
      </c>
      <c r="F3" t="e">
        <f>IF(ISNA(nom_unconverted!F3),NA(),nom_unconverted!F3/nom_unconverted!$K3*100)</f>
        <v>#N/A</v>
      </c>
      <c r="G3" t="e">
        <f>IF(ISNA(nom_unconverted!G3),NA(),nom_unconverted!G3/nom_unconverted!$K3*100)</f>
        <v>#N/A</v>
      </c>
      <c r="H3" t="e">
        <f>IF(ISNA(nom_unconverted!H3),NA(),nom_unconverted!H3/nom_unconverted!$K3*100)</f>
        <v>#N/A</v>
      </c>
      <c r="I3">
        <f>IF(ISNA(nom_unconverted!I3),NA(),nom_unconverted!I3/nom_unconverted!$K3*100)</f>
        <v>3.9279001136179477</v>
      </c>
      <c r="J3">
        <f>nom_unconverted!J3/nom_unconverted!$K3*100</f>
        <v>4.5416345063707526</v>
      </c>
    </row>
    <row r="4" spans="1:10" x14ac:dyDescent="0.3">
      <c r="A4" s="5">
        <v>2001</v>
      </c>
      <c r="B4" t="e">
        <f>IF(ISNA(nom_unconverted!B4),NA(),nom_unconverted!B4/nom_unconverted!$K4*100)</f>
        <v>#N/A</v>
      </c>
      <c r="C4" t="e">
        <f>IF(ISNA(nom_unconverted!C4),NA(),nom_unconverted!C4/nom_unconverted!$K4*100)</f>
        <v>#N/A</v>
      </c>
      <c r="D4" t="e">
        <f>IF(ISNA(nom_unconverted!D4),NA(),nom_unconverted!D4/nom_unconverted!$K4*100)</f>
        <v>#N/A</v>
      </c>
      <c r="E4" t="e">
        <f>IF(ISNA(nom_unconverted!E4),NA(),nom_unconverted!E4/nom_unconverted!$K4*100)</f>
        <v>#N/A</v>
      </c>
      <c r="F4" t="e">
        <f>IF(ISNA(nom_unconverted!F4),NA(),nom_unconverted!F4/nom_unconverted!$K4*100)</f>
        <v>#N/A</v>
      </c>
      <c r="G4" t="e">
        <f>IF(ISNA(nom_unconverted!G4),NA(),nom_unconverted!G4/nom_unconverted!$K4*100)</f>
        <v>#N/A</v>
      </c>
      <c r="H4" t="e">
        <f>IF(ISNA(nom_unconverted!H4),NA(),nom_unconverted!H4/nom_unconverted!$K4*100)</f>
        <v>#N/A</v>
      </c>
      <c r="I4">
        <f>IF(ISNA(nom_unconverted!I4),NA(),nom_unconverted!I4/nom_unconverted!$K4*100)</f>
        <v>4.2313024035612399</v>
      </c>
      <c r="J4">
        <f>nom_unconverted!J4/nom_unconverted!$K4*100</f>
        <v>4.9566685298860236</v>
      </c>
    </row>
    <row r="5" spans="1:10" x14ac:dyDescent="0.3">
      <c r="A5" s="5">
        <v>2002</v>
      </c>
      <c r="B5" t="e">
        <f>IF(ISNA(nom_unconverted!B5),NA(),nom_unconverted!B5/nom_unconverted!$K5*100)</f>
        <v>#N/A</v>
      </c>
      <c r="C5" t="e">
        <f>IF(ISNA(nom_unconverted!C5),NA(),nom_unconverted!C5/nom_unconverted!$K5*100)</f>
        <v>#N/A</v>
      </c>
      <c r="D5" t="e">
        <f>IF(ISNA(nom_unconverted!D5),NA(),nom_unconverted!D5/nom_unconverted!$K5*100)</f>
        <v>#N/A</v>
      </c>
      <c r="E5" t="e">
        <f>IF(ISNA(nom_unconverted!E5),NA(),nom_unconverted!E5/nom_unconverted!$K5*100)</f>
        <v>#N/A</v>
      </c>
      <c r="F5" t="e">
        <f>IF(ISNA(nom_unconverted!F5),NA(),nom_unconverted!F5/nom_unconverted!$K5*100)</f>
        <v>#N/A</v>
      </c>
      <c r="G5" t="e">
        <f>IF(ISNA(nom_unconverted!G5),NA(),nom_unconverted!G5/nom_unconverted!$K5*100)</f>
        <v>#N/A</v>
      </c>
      <c r="H5" t="e">
        <f>IF(ISNA(nom_unconverted!H5),NA(),nom_unconverted!H5/nom_unconverted!$K5*100)</f>
        <v>#N/A</v>
      </c>
      <c r="I5">
        <f>IF(ISNA(nom_unconverted!I5),NA(),nom_unconverted!I5/nom_unconverted!$K5*100)</f>
        <v>4.1679330469780185</v>
      </c>
      <c r="J5">
        <f>nom_unconverted!J5/nom_unconverted!$K5*100</f>
        <v>5.0015196563736213</v>
      </c>
    </row>
    <row r="6" spans="1:10" x14ac:dyDescent="0.3">
      <c r="A6" s="5">
        <v>2003</v>
      </c>
      <c r="B6" t="e">
        <f>IF(ISNA(nom_unconverted!B6),NA(),nom_unconverted!B6/nom_unconverted!$K6*100)</f>
        <v>#N/A</v>
      </c>
      <c r="C6" t="e">
        <f>IF(ISNA(nom_unconverted!C6),NA(),nom_unconverted!C6/nom_unconverted!$K6*100)</f>
        <v>#N/A</v>
      </c>
      <c r="D6" t="e">
        <f>IF(ISNA(nom_unconverted!D6),NA(),nom_unconverted!D6/nom_unconverted!$K6*100)</f>
        <v>#N/A</v>
      </c>
      <c r="E6" t="e">
        <f>IF(ISNA(nom_unconverted!E6),NA(),nom_unconverted!E6/nom_unconverted!$K6*100)</f>
        <v>#N/A</v>
      </c>
      <c r="F6" t="e">
        <f>IF(ISNA(nom_unconverted!F6),NA(),nom_unconverted!F6/nom_unconverted!$K6*100)</f>
        <v>#N/A</v>
      </c>
      <c r="G6" t="e">
        <f>IF(ISNA(nom_unconverted!G6),NA(),nom_unconverted!G6/nom_unconverted!$K6*100)</f>
        <v>#N/A</v>
      </c>
      <c r="H6" t="e">
        <f>IF(ISNA(nom_unconverted!H6),NA(),nom_unconverted!H6/nom_unconverted!$K6*100)</f>
        <v>#N/A</v>
      </c>
      <c r="I6">
        <f>IF(ISNA(nom_unconverted!I6),NA(),nom_unconverted!I6/nom_unconverted!$K6*100)</f>
        <v>4.463741038241972</v>
      </c>
      <c r="J6">
        <f>nom_unconverted!J6/nom_unconverted!$K6*100</f>
        <v>5.2860091242339138</v>
      </c>
    </row>
    <row r="7" spans="1:10" x14ac:dyDescent="0.3">
      <c r="A7" s="5">
        <v>2004</v>
      </c>
      <c r="B7">
        <f>IF(ISNA(nom_unconverted!B7),NA(),nom_unconverted!B7/nom_unconverted!$K7*100)</f>
        <v>3.4756803085082799</v>
      </c>
      <c r="C7" t="e">
        <f>IF(ISNA(nom_unconverted!C7),NA(),nom_unconverted!C7/nom_unconverted!$K7*100)</f>
        <v>#N/A</v>
      </c>
      <c r="D7" t="e">
        <f>IF(ISNA(nom_unconverted!D7),NA(),nom_unconverted!D7/nom_unconverted!$K7*100)</f>
        <v>#N/A</v>
      </c>
      <c r="E7" t="e">
        <f>IF(ISNA(nom_unconverted!E7),NA(),nom_unconverted!E7/nom_unconverted!$K7*100)</f>
        <v>#N/A</v>
      </c>
      <c r="F7" t="e">
        <f>IF(ISNA(nom_unconverted!F7),NA(),nom_unconverted!F7/nom_unconverted!$K7*100)</f>
        <v>#N/A</v>
      </c>
      <c r="G7" t="e">
        <f>IF(ISNA(nom_unconverted!G7),NA(),nom_unconverted!G7/nom_unconverted!$K7*100)</f>
        <v>#N/A</v>
      </c>
      <c r="H7" t="e">
        <f>IF(ISNA(nom_unconverted!H7),NA(),nom_unconverted!H7/nom_unconverted!$K7*100)</f>
        <v>#N/A</v>
      </c>
      <c r="I7">
        <f>IF(ISNA(nom_unconverted!I7),NA(),nom_unconverted!I7/nom_unconverted!$K7*100)</f>
        <v>4.7500964216279824</v>
      </c>
      <c r="J7">
        <f>nom_unconverted!J7/nom_unconverted!$K7*100</f>
        <v>5.6190164987550517</v>
      </c>
    </row>
    <row r="8" spans="1:10" x14ac:dyDescent="0.3">
      <c r="A8" s="5">
        <v>2005</v>
      </c>
      <c r="B8">
        <f>IF(ISNA(nom_unconverted!B8),NA(),nom_unconverted!B8/nom_unconverted!$K8*100)</f>
        <v>3.4045545177744434</v>
      </c>
      <c r="C8" t="e">
        <f>IF(ISNA(nom_unconverted!C8),NA(),nom_unconverted!C8/nom_unconverted!$K8*100)</f>
        <v>#N/A</v>
      </c>
      <c r="D8" t="e">
        <f>IF(ISNA(nom_unconverted!D8),NA(),nom_unconverted!D8/nom_unconverted!$K8*100)</f>
        <v>#N/A</v>
      </c>
      <c r="E8" t="e">
        <f>IF(ISNA(nom_unconverted!E8),NA(),nom_unconverted!E8/nom_unconverted!$K8*100)</f>
        <v>#N/A</v>
      </c>
      <c r="F8" t="e">
        <f>IF(ISNA(nom_unconverted!F8),NA(),nom_unconverted!F8/nom_unconverted!$K8*100)</f>
        <v>#N/A</v>
      </c>
      <c r="G8" t="e">
        <f>IF(ISNA(nom_unconverted!G8),NA(),nom_unconverted!G8/nom_unconverted!$K8*100)</f>
        <v>#N/A</v>
      </c>
      <c r="H8" t="e">
        <f>IF(ISNA(nom_unconverted!H8),NA(),nom_unconverted!H8/nom_unconverted!$K8*100)</f>
        <v>#N/A</v>
      </c>
      <c r="I8">
        <f>IF(ISNA(nom_unconverted!I8),NA(),nom_unconverted!I8/nom_unconverted!$K8*100)</f>
        <v>4.8231189001804609</v>
      </c>
      <c r="J8">
        <f>nom_unconverted!J8/nom_unconverted!$K8*100</f>
        <v>5.7310001049203123</v>
      </c>
    </row>
    <row r="9" spans="1:10" x14ac:dyDescent="0.3">
      <c r="A9" s="5">
        <v>2006</v>
      </c>
      <c r="B9">
        <f>IF(ISNA(nom_unconverted!B9),NA(),nom_unconverted!B9/nom_unconverted!$K9*100)</f>
        <v>3.655249411060483</v>
      </c>
      <c r="C9" t="e">
        <f>IF(ISNA(nom_unconverted!C9),NA(),nom_unconverted!C9/nom_unconverted!$K9*100)</f>
        <v>#N/A</v>
      </c>
      <c r="D9" t="e">
        <f>IF(ISNA(nom_unconverted!D9),NA(),nom_unconverted!D9/nom_unconverted!$K9*100)</f>
        <v>#N/A</v>
      </c>
      <c r="E9" t="e">
        <f>IF(ISNA(nom_unconverted!E9),NA(),nom_unconverted!E9/nom_unconverted!$K9*100)</f>
        <v>#N/A</v>
      </c>
      <c r="F9" t="e">
        <f>IF(ISNA(nom_unconverted!F9),NA(),nom_unconverted!F9/nom_unconverted!$K9*100)</f>
        <v>#N/A</v>
      </c>
      <c r="G9" t="e">
        <f>IF(ISNA(nom_unconverted!G9),NA(),nom_unconverted!G9/nom_unconverted!$K9*100)</f>
        <v>#N/A</v>
      </c>
      <c r="H9" t="e">
        <f>IF(ISNA(nom_unconverted!H9),NA(),nom_unconverted!H9/nom_unconverted!$K9*100)</f>
        <v>#N/A</v>
      </c>
      <c r="I9">
        <f>IF(ISNA(nom_unconverted!I9),NA(),nom_unconverted!I9/nom_unconverted!$K9*100)</f>
        <v>4.9290484482482269</v>
      </c>
      <c r="J9">
        <f>nom_unconverted!J9/nom_unconverted!$K9*100</f>
        <v>5.925934651264722</v>
      </c>
    </row>
    <row r="10" spans="1:10" x14ac:dyDescent="0.3">
      <c r="A10" s="5">
        <v>2007</v>
      </c>
      <c r="B10">
        <f>IF(ISNA(nom_unconverted!B10),NA(),nom_unconverted!B10/nom_unconverted!$K10*100)</f>
        <v>3.6782312924859499</v>
      </c>
      <c r="C10" t="e">
        <f>IF(ISNA(nom_unconverted!C10),NA(),nom_unconverted!C10/nom_unconverted!$K10*100)</f>
        <v>#N/A</v>
      </c>
      <c r="D10" t="e">
        <f>IF(ISNA(nom_unconverted!D10),NA(),nom_unconverted!D10/nom_unconverted!$K10*100)</f>
        <v>#N/A</v>
      </c>
      <c r="E10" t="e">
        <f>IF(ISNA(nom_unconverted!E10),NA(),nom_unconverted!E10/nom_unconverted!$K10*100)</f>
        <v>#N/A</v>
      </c>
      <c r="F10" t="e">
        <f>IF(ISNA(nom_unconverted!F10),NA(),nom_unconverted!F10/nom_unconverted!$K10*100)</f>
        <v>#N/A</v>
      </c>
      <c r="G10" t="e">
        <f>IF(ISNA(nom_unconverted!G10),NA(),nom_unconverted!G10/nom_unconverted!$K10*100)</f>
        <v>#N/A</v>
      </c>
      <c r="H10" t="e">
        <f>IF(ISNA(nom_unconverted!H10),NA(),nom_unconverted!H10/nom_unconverted!$K10*100)</f>
        <v>#N/A</v>
      </c>
      <c r="I10">
        <f>IF(ISNA(nom_unconverted!I10),NA(),nom_unconverted!I10/nom_unconverted!$K10*100)</f>
        <v>4.9764305721868736</v>
      </c>
      <c r="J10">
        <f>nom_unconverted!J10/nom_unconverted!$K10*100</f>
        <v>5.9717166866242479</v>
      </c>
    </row>
    <row r="11" spans="1:10" x14ac:dyDescent="0.3">
      <c r="A11" s="5">
        <v>2008</v>
      </c>
      <c r="B11">
        <f>IF(ISNA(nom_unconverted!B11),NA(),nom_unconverted!B11/nom_unconverted!$K11*100)</f>
        <v>3.6889659838609457</v>
      </c>
      <c r="C11" t="e">
        <f>IF(ISNA(nom_unconverted!C11),NA(),nom_unconverted!C11/nom_unconverted!$K11*100)</f>
        <v>#N/A</v>
      </c>
      <c r="D11" t="e">
        <f>IF(ISNA(nom_unconverted!D11),NA(),nom_unconverted!D11/nom_unconverted!$K11*100)</f>
        <v>#N/A</v>
      </c>
      <c r="E11" t="e">
        <f>IF(ISNA(nom_unconverted!E11),NA(),nom_unconverted!E11/nom_unconverted!$K11*100)</f>
        <v>#N/A</v>
      </c>
      <c r="F11" t="e">
        <f>IF(ISNA(nom_unconverted!F11),NA(),nom_unconverted!F11/nom_unconverted!$K11*100)</f>
        <v>#N/A</v>
      </c>
      <c r="G11" t="e">
        <f>IF(ISNA(nom_unconverted!G11),NA(),nom_unconverted!G11/nom_unconverted!$K11*100)</f>
        <v>#N/A</v>
      </c>
      <c r="H11" t="e">
        <f>IF(ISNA(nom_unconverted!H11),NA(),nom_unconverted!H11/nom_unconverted!$K11*100)</f>
        <v>#N/A</v>
      </c>
      <c r="I11">
        <f>IF(ISNA(nom_unconverted!I11),NA(),nom_unconverted!I11/nom_unconverted!$K11*100)</f>
        <v>4.984806726067057</v>
      </c>
      <c r="J11">
        <f>nom_unconverted!J11/nom_unconverted!$K11*100</f>
        <v>5.9880382684201763</v>
      </c>
    </row>
    <row r="12" spans="1:10" x14ac:dyDescent="0.3">
      <c r="A12" s="5">
        <v>2009</v>
      </c>
      <c r="B12">
        <f>IF(ISNA(nom_unconverted!B12),NA(),nom_unconverted!B12/nom_unconverted!$K12*100)</f>
        <v>3.6589877736558298</v>
      </c>
      <c r="C12" t="e">
        <f>IF(ISNA(nom_unconverted!C12),NA(),nom_unconverted!C12/nom_unconverted!$K12*100)</f>
        <v>#N/A</v>
      </c>
      <c r="D12" t="e">
        <f>IF(ISNA(nom_unconverted!D12),NA(),nom_unconverted!D12/nom_unconverted!$K12*100)</f>
        <v>#N/A</v>
      </c>
      <c r="E12" t="e">
        <f>IF(ISNA(nom_unconverted!E12),NA(),nom_unconverted!E12/nom_unconverted!$K12*100)</f>
        <v>#N/A</v>
      </c>
      <c r="F12" t="e">
        <f>IF(ISNA(nom_unconverted!F12),NA(),nom_unconverted!F12/nom_unconverted!$K12*100)</f>
        <v>#N/A</v>
      </c>
      <c r="G12" t="e">
        <f>IF(ISNA(nom_unconverted!G12),NA(),nom_unconverted!G12/nom_unconverted!$K12*100)</f>
        <v>#N/A</v>
      </c>
      <c r="H12" t="e">
        <f>IF(ISNA(nom_unconverted!H12),NA(),nom_unconverted!H12/nom_unconverted!$K12*100)</f>
        <v>#N/A</v>
      </c>
      <c r="I12">
        <f>IF(ISNA(nom_unconverted!I12),NA(),nom_unconverted!I12/nom_unconverted!$K12*100)</f>
        <v>4.9503952231814177</v>
      </c>
      <c r="J12">
        <f>nom_unconverted!J12/nom_unconverted!$K12*100</f>
        <v>5.944573974006671</v>
      </c>
    </row>
    <row r="13" spans="1:10" x14ac:dyDescent="0.3">
      <c r="A13" s="5">
        <v>2010</v>
      </c>
      <c r="B13">
        <f>IF(ISNA(nom_unconverted!B13),NA(),nom_unconverted!B13/nom_unconverted!$K13*100)</f>
        <v>3.64</v>
      </c>
      <c r="C13">
        <f>IF(ISNA(nom_unconverted!C13),NA(),nom_unconverted!C13/nom_unconverted!$K13*100)</f>
        <v>4.92</v>
      </c>
      <c r="D13">
        <f>IF(ISNA(nom_unconverted!D13),NA(),nom_unconverted!D13/nom_unconverted!$K13*100)</f>
        <v>5.93</v>
      </c>
      <c r="E13" t="e">
        <f>IF(ISNA(nom_unconverted!E13),NA(),nom_unconverted!E13/nom_unconverted!$K13*100)</f>
        <v>#N/A</v>
      </c>
      <c r="F13" t="e">
        <f>IF(ISNA(nom_unconverted!F13),NA(),nom_unconverted!F13/nom_unconverted!$K13*100)</f>
        <v>#N/A</v>
      </c>
      <c r="G13" t="e">
        <f>IF(ISNA(nom_unconverted!G13),NA(),nom_unconverted!G13/nom_unconverted!$K13*100)</f>
        <v>#N/A</v>
      </c>
      <c r="H13" t="e">
        <f>IF(ISNA(nom_unconverted!H13),NA(),nom_unconverted!H13/nom_unconverted!$K13*100)</f>
        <v>#N/A</v>
      </c>
      <c r="I13" t="e">
        <f>IF(ISNA(nom_unconverted!I13),NA(),nom_unconverted!I13/nom_unconverted!$K13*100)</f>
        <v>#N/A</v>
      </c>
      <c r="J13" t="e">
        <f>nom_unconverted!J13/nom_unconverted!$K13*100</f>
        <v>#N/A</v>
      </c>
    </row>
    <row r="14" spans="1:10" x14ac:dyDescent="0.3">
      <c r="A14" s="5">
        <v>2011</v>
      </c>
      <c r="B14">
        <f>IF(ISNA(nom_unconverted!B14),NA(),nom_unconverted!B14/nom_unconverted!$K14*100)</f>
        <v>3.5433639050791199</v>
      </c>
      <c r="C14">
        <f>IF(ISNA(nom_unconverted!C14),NA(),nom_unconverted!C14/nom_unconverted!$K14*100)</f>
        <v>4.795095719373375</v>
      </c>
      <c r="D14">
        <f>IF(ISNA(nom_unconverted!D14),NA(),nom_unconverted!D14/nom_unconverted!$K14*100)</f>
        <v>5.8542534083915898</v>
      </c>
      <c r="E14" t="e">
        <f>IF(ISNA(nom_unconverted!E14),NA(),nom_unconverted!E14/nom_unconverted!$K14*100)</f>
        <v>#N/A</v>
      </c>
      <c r="F14" t="e">
        <f>IF(ISNA(nom_unconverted!F14),NA(),nom_unconverted!F14/nom_unconverted!$K14*100)</f>
        <v>#N/A</v>
      </c>
      <c r="G14" t="e">
        <f>IF(ISNA(nom_unconverted!G14),NA(),nom_unconverted!G14/nom_unconverted!$K14*100)</f>
        <v>#N/A</v>
      </c>
      <c r="H14" t="e">
        <f>IF(ISNA(nom_unconverted!H14),NA(),nom_unconverted!H14/nom_unconverted!$K14*100)</f>
        <v>#N/A</v>
      </c>
      <c r="I14" t="e">
        <f>IF(ISNA(nom_unconverted!I14),NA(),nom_unconverted!I14/nom_unconverted!$K14*100)</f>
        <v>#N/A</v>
      </c>
      <c r="J14" t="e">
        <f>nom_unconverted!J14/nom_unconverted!$K14*100</f>
        <v>#N/A</v>
      </c>
    </row>
    <row r="15" spans="1:10" x14ac:dyDescent="0.3">
      <c r="A15" s="5">
        <v>2012</v>
      </c>
      <c r="B15">
        <f>IF(ISNA(nom_unconverted!B15),NA(),nom_unconverted!B15/nom_unconverted!$K15*100)</f>
        <v>3.4544722212704428</v>
      </c>
      <c r="C15">
        <f>IF(ISNA(nom_unconverted!C15),NA(),nom_unconverted!C15/nom_unconverted!$K15*100)</f>
        <v>4.6748020820453284</v>
      </c>
      <c r="D15">
        <f>IF(ISNA(nom_unconverted!D15),NA(),nom_unconverted!D15/nom_unconverted!$K15*100)</f>
        <v>5.8106475678434899</v>
      </c>
      <c r="E15" t="e">
        <f>IF(ISNA(nom_unconverted!E15),NA(),nom_unconverted!E15/nom_unconverted!$K15*100)</f>
        <v>#N/A</v>
      </c>
      <c r="F15" t="e">
        <f>IF(ISNA(nom_unconverted!F15),NA(),nom_unconverted!F15/nom_unconverted!$K15*100)</f>
        <v>#N/A</v>
      </c>
      <c r="G15" t="e">
        <f>IF(ISNA(nom_unconverted!G15),NA(),nom_unconverted!G15/nom_unconverted!$K15*100)</f>
        <v>#N/A</v>
      </c>
      <c r="H15" t="e">
        <f>IF(ISNA(nom_unconverted!H15),NA(),nom_unconverted!H15/nom_unconverted!$K15*100)</f>
        <v>#N/A</v>
      </c>
      <c r="I15" t="e">
        <f>IF(ISNA(nom_unconverted!I15),NA(),nom_unconverted!I15/nom_unconverted!$K15*100)</f>
        <v>#N/A</v>
      </c>
      <c r="J15" t="e">
        <f>nom_unconverted!J15/nom_unconverted!$K15*100</f>
        <v>#N/A</v>
      </c>
    </row>
    <row r="16" spans="1:10" x14ac:dyDescent="0.3">
      <c r="A16" s="5">
        <v>2013</v>
      </c>
      <c r="B16">
        <f>IF(ISNA(nom_unconverted!B16),NA(),nom_unconverted!B16/nom_unconverted!$K16*100)</f>
        <v>3.4137881871565945</v>
      </c>
      <c r="C16">
        <f>IF(ISNA(nom_unconverted!C16),NA(),nom_unconverted!C16/nom_unconverted!$K16*100)</f>
        <v>4.6159555326337829</v>
      </c>
      <c r="D16">
        <f>IF(ISNA(nom_unconverted!D16),NA(),nom_unconverted!D16/nom_unconverted!$K16*100)</f>
        <v>5.7905923282145455</v>
      </c>
      <c r="E16" t="e">
        <f>IF(ISNA(nom_unconverted!E16),NA(),nom_unconverted!E16/nom_unconverted!$K16*100)</f>
        <v>#N/A</v>
      </c>
      <c r="F16" t="e">
        <f>IF(ISNA(nom_unconverted!F16),NA(),nom_unconverted!F16/nom_unconverted!$K16*100)</f>
        <v>#N/A</v>
      </c>
      <c r="G16" t="e">
        <f>IF(ISNA(nom_unconverted!G16),NA(),nom_unconverted!G16/nom_unconverted!$K16*100)</f>
        <v>#N/A</v>
      </c>
      <c r="H16" t="e">
        <f>IF(ISNA(nom_unconverted!H16),NA(),nom_unconverted!H16/nom_unconverted!$K16*100)</f>
        <v>#N/A</v>
      </c>
      <c r="I16" t="e">
        <f>IF(ISNA(nom_unconverted!I16),NA(),nom_unconverted!I16/nom_unconverted!$K16*100)</f>
        <v>#N/A</v>
      </c>
      <c r="J16" t="e">
        <f>nom_unconverted!J16/nom_unconverted!$K16*100</f>
        <v>#N/A</v>
      </c>
    </row>
    <row r="17" spans="1:10" x14ac:dyDescent="0.3">
      <c r="A17" s="5">
        <v>2014</v>
      </c>
      <c r="B17">
        <f>IF(ISNA(nom_unconverted!B17),NA(),nom_unconverted!B17/nom_unconverted!$K17*100)</f>
        <v>3.428277708520437</v>
      </c>
      <c r="C17">
        <f>IF(ISNA(nom_unconverted!C17),NA(),nom_unconverted!C17/nom_unconverted!$K17*100)</f>
        <v>4.6403864497915146</v>
      </c>
      <c r="D17">
        <f>IF(ISNA(nom_unconverted!D17),NA(),nom_unconverted!D17/nom_unconverted!$K17*100)</f>
        <v>5.8796319539268715</v>
      </c>
      <c r="E17" t="e">
        <f>IF(ISNA(nom_unconverted!E17),NA(),nom_unconverted!E17/nom_unconverted!$K17*100)</f>
        <v>#N/A</v>
      </c>
      <c r="F17" t="e">
        <f>IF(ISNA(nom_unconverted!F17),NA(),nom_unconverted!F17/nom_unconverted!$K17*100)</f>
        <v>#N/A</v>
      </c>
      <c r="G17" t="e">
        <f>IF(ISNA(nom_unconverted!G17),NA(),nom_unconverted!G17/nom_unconverted!$K17*100)</f>
        <v>#N/A</v>
      </c>
      <c r="H17" t="e">
        <f>IF(ISNA(nom_unconverted!H17),NA(),nom_unconverted!H17/nom_unconverted!$K17*100)</f>
        <v>#N/A</v>
      </c>
      <c r="I17" t="e">
        <f>IF(ISNA(nom_unconverted!I17),NA(),nom_unconverted!I17/nom_unconverted!$K17*100)</f>
        <v>#N/A</v>
      </c>
      <c r="J17" t="e">
        <f>nom_unconverted!J17/nom_unconverted!$K17*100</f>
        <v>#N/A</v>
      </c>
    </row>
    <row r="18" spans="1:10" x14ac:dyDescent="0.3">
      <c r="A18" s="5">
        <v>2015</v>
      </c>
      <c r="B18">
        <f>IF(ISNA(nom_unconverted!B18),NA(),nom_unconverted!B18/nom_unconverted!$K18*100)</f>
        <v>3.4878056499953285</v>
      </c>
      <c r="C18">
        <f>IF(ISNA(nom_unconverted!C18),NA(),nom_unconverted!C18/nom_unconverted!$K18*100)</f>
        <v>4.7765813811305531</v>
      </c>
      <c r="D18">
        <f>IF(ISNA(nom_unconverted!D18),NA(),nom_unconverted!D18/nom_unconverted!$K18*100)</f>
        <v>6.0383198591650391</v>
      </c>
      <c r="E18" t="e">
        <f>IF(ISNA(nom_unconverted!E18),NA(),nom_unconverted!E18/nom_unconverted!$K18*100)</f>
        <v>#N/A</v>
      </c>
      <c r="F18" t="e">
        <f>IF(ISNA(nom_unconverted!F18),NA(),nom_unconverted!F18/nom_unconverted!$K18*100)</f>
        <v>#N/A</v>
      </c>
      <c r="G18" t="e">
        <f>IF(ISNA(nom_unconverted!G18),NA(),nom_unconverted!G18/nom_unconverted!$K18*100)</f>
        <v>#N/A</v>
      </c>
      <c r="H18" t="e">
        <f>IF(ISNA(nom_unconverted!H18),NA(),nom_unconverted!H18/nom_unconverted!$K18*100)</f>
        <v>#N/A</v>
      </c>
      <c r="I18" t="e">
        <f>IF(ISNA(nom_unconverted!I18),NA(),nom_unconverted!I18/nom_unconverted!$K18*100)</f>
        <v>#N/A</v>
      </c>
      <c r="J18" t="e">
        <f>nom_unconverted!J18/nom_unconverted!$K18*100</f>
        <v>#N/A</v>
      </c>
    </row>
    <row r="19" spans="1:10" x14ac:dyDescent="0.3">
      <c r="A19" s="5">
        <v>2016</v>
      </c>
      <c r="B19">
        <f>IF(ISNA(nom_unconverted!B19),NA(),nom_unconverted!B19/nom_unconverted!$K19*100)</f>
        <v>3.4529851486225436</v>
      </c>
      <c r="C19">
        <f>IF(ISNA(nom_unconverted!C19),NA(),nom_unconverted!C19/nom_unconverted!$K19*100)</f>
        <v>4.7288943895864293</v>
      </c>
      <c r="D19" t="e">
        <f>IF(ISNA(nom_unconverted!D19),NA(),nom_unconverted!D19/nom_unconverted!$K19*100)</f>
        <v>#N/A</v>
      </c>
      <c r="E19" t="e">
        <f>IF(ISNA(nom_unconverted!E19),NA(),nom_unconverted!E19/nom_unconverted!$K19*100)</f>
        <v>#N/A</v>
      </c>
      <c r="F19" t="e">
        <f>IF(ISNA(nom_unconverted!F19),NA(),nom_unconverted!F19/nom_unconverted!$K19*100)</f>
        <v>#N/A</v>
      </c>
      <c r="G19">
        <f>IF(ISNA(nom_unconverted!G19),NA(),nom_unconverted!G19/nom_unconverted!$K19*100)</f>
        <v>5.9780363038168067</v>
      </c>
      <c r="H19">
        <f>IF(ISNA(nom_unconverted!H19),NA(),nom_unconverted!H19/nom_unconverted!$K19*100)</f>
        <v>6.4241584160419416</v>
      </c>
      <c r="I19" t="e">
        <f>IF(ISNA(nom_unconverted!I19),NA(),nom_unconverted!I19/nom_unconverted!$K19*100)</f>
        <v>#N/A</v>
      </c>
      <c r="J19" t="e">
        <f>nom_unconverted!J19/nom_unconverted!$K19*100</f>
        <v>#N/A</v>
      </c>
    </row>
    <row r="20" spans="1:10" x14ac:dyDescent="0.3">
      <c r="A20" s="5">
        <v>2017</v>
      </c>
      <c r="B20">
        <f>IF(ISNA(nom_unconverted!B20),NA(),nom_unconverted!B20/nom_unconverted!$K20*100)</f>
        <v>3.5234674187786559</v>
      </c>
      <c r="C20">
        <f>IF(ISNA(nom_unconverted!C20),NA(),nom_unconverted!C20/nom_unconverted!$K20*100)</f>
        <v>4.8719549494223386</v>
      </c>
      <c r="D20" t="e">
        <f>IF(ISNA(nom_unconverted!D20),NA(),nom_unconverted!D20/nom_unconverted!$K20*100)</f>
        <v>#N/A</v>
      </c>
      <c r="E20" t="e">
        <f>IF(ISNA(nom_unconverted!E20),NA(),nom_unconverted!E20/nom_unconverted!$K20*100)</f>
        <v>#N/A</v>
      </c>
      <c r="F20" t="e">
        <f>IF(ISNA(nom_unconverted!F20),NA(),nom_unconverted!F20/nom_unconverted!$K20*100)</f>
        <v>#N/A</v>
      </c>
      <c r="G20">
        <f>IF(ISNA(nom_unconverted!G20),NA(),nom_unconverted!G20/nom_unconverted!$K20*100)</f>
        <v>6.1334432845406228</v>
      </c>
      <c r="H20">
        <f>IF(ISNA(nom_unconverted!H20),NA(),nom_unconverted!H20/nom_unconverted!$K20*100)</f>
        <v>6.5249396644049176</v>
      </c>
      <c r="I20" t="e">
        <f>IF(ISNA(nom_unconverted!I20),NA(),nom_unconverted!I20/nom_unconverted!$K20*100)</f>
        <v>#N/A</v>
      </c>
      <c r="J20" t="e">
        <f>nom_unconverted!J20/nom_unconverted!$K20*100</f>
        <v>#N/A</v>
      </c>
    </row>
    <row r="21" spans="1:10" x14ac:dyDescent="0.3">
      <c r="A21" s="5">
        <v>2018</v>
      </c>
      <c r="B21">
        <f>IF(ISNA(nom_unconverted!B21),NA(),nom_unconverted!B21/nom_unconverted!$K21*100)</f>
        <v>3.5720644900318912</v>
      </c>
      <c r="C21">
        <f>IF(ISNA(nom_unconverted!C21),NA(),nom_unconverted!C21/nom_unconverted!$K21*100)</f>
        <v>5.0179001169495612</v>
      </c>
      <c r="D21" t="e">
        <f>IF(ISNA(nom_unconverted!D21),NA(),nom_unconverted!D21/nom_unconverted!$K21*100)</f>
        <v>#N/A</v>
      </c>
      <c r="E21" t="e">
        <f>IF(ISNA(nom_unconverted!E21),NA(),nom_unconverted!E21/nom_unconverted!$K21*100)</f>
        <v>#N/A</v>
      </c>
      <c r="F21" t="e">
        <f>IF(ISNA(nom_unconverted!F21),NA(),nom_unconverted!F21/nom_unconverted!$K21*100)</f>
        <v>#N/A</v>
      </c>
      <c r="G21">
        <f>IF(ISNA(nom_unconverted!G21),NA(),nom_unconverted!G21/nom_unconverted!$K21*100)</f>
        <v>6.2766276039131803</v>
      </c>
      <c r="H21">
        <f>IF(ISNA(nom_unconverted!H21),NA(),nom_unconverted!H21/nom_unconverted!$K21*100)</f>
        <v>6.6593487992737401</v>
      </c>
      <c r="I21" t="e">
        <f>IF(ISNA(nom_unconverted!I21),NA(),nom_unconverted!I21/nom_unconverted!$K21*100)</f>
        <v>#N/A</v>
      </c>
      <c r="J21" t="e">
        <f>nom_unconverted!J21/nom_unconverted!$K21*100</f>
        <v>#N/A</v>
      </c>
    </row>
    <row r="22" spans="1:10" x14ac:dyDescent="0.3">
      <c r="A22" s="5">
        <v>2019</v>
      </c>
      <c r="B22">
        <f>IF(ISNA(nom_unconverted!B22),NA(),nom_unconverted!B22/nom_unconverted!$K22*100)</f>
        <v>3.6364332096525551</v>
      </c>
      <c r="C22">
        <f>IF(ISNA(nom_unconverted!C22),NA(),nom_unconverted!C22/nom_unconverted!$K22*100)</f>
        <v>5.1411641929570608</v>
      </c>
      <c r="D22" t="e">
        <f>IF(ISNA(nom_unconverted!D22),NA(),nom_unconverted!D22/nom_unconverted!$K22*100)</f>
        <v>#N/A</v>
      </c>
      <c r="E22" t="e">
        <f>IF(ISNA(nom_unconverted!E22),NA(),nom_unconverted!E22/nom_unconverted!$K22*100)</f>
        <v>#N/A</v>
      </c>
      <c r="F22" t="e">
        <f>IF(ISNA(nom_unconverted!F22),NA(),nom_unconverted!F22/nom_unconverted!$K22*100)</f>
        <v>#N/A</v>
      </c>
      <c r="G22">
        <f>IF(ISNA(nom_unconverted!G22),NA(),nom_unconverted!G22/nom_unconverted!$K22*100)</f>
        <v>6.4369047619137181</v>
      </c>
      <c r="H22">
        <f>IF(ISNA(nom_unconverted!H22),NA(),nom_unconverted!H22/nom_unconverted!$K22*100)</f>
        <v>6.8632452071833283</v>
      </c>
      <c r="I22" t="e">
        <f>IF(ISNA(nom_unconverted!I22),NA(),nom_unconverted!I22/nom_unconverted!$K22*100)</f>
        <v>#N/A</v>
      </c>
      <c r="J22" t="e">
        <f>nom_unconverted!J22/nom_unconverted!$K22*100</f>
        <v>#N/A</v>
      </c>
    </row>
    <row r="23" spans="1:10" x14ac:dyDescent="0.3">
      <c r="A23" s="5">
        <v>2020</v>
      </c>
      <c r="B23">
        <f>IF(ISNA(nom_unconverted!B23),NA(),nom_unconverted!B23/nom_unconverted!$K23*100)</f>
        <v>3.7663579309123154</v>
      </c>
      <c r="C23">
        <f>IF(ISNA(nom_unconverted!C23),NA(),nom_unconverted!C23/nom_unconverted!$K23*100)</f>
        <v>5.3391227811833923</v>
      </c>
      <c r="D23" t="e">
        <f>IF(ISNA(nom_unconverted!D23),NA(),nom_unconverted!D23/nom_unconverted!$K23*100)</f>
        <v>#N/A</v>
      </c>
      <c r="E23" t="e">
        <f>IF(ISNA(nom_unconverted!E23),NA(),nom_unconverted!E23/nom_unconverted!$K23*100)</f>
        <v>#N/A</v>
      </c>
      <c r="F23" t="e">
        <f>IF(ISNA(nom_unconverted!F23),NA(),nom_unconverted!F23/nom_unconverted!$K23*100)</f>
        <v>#N/A</v>
      </c>
      <c r="G23">
        <f>IF(ISNA(nom_unconverted!G23),NA(),nom_unconverted!G23/nom_unconverted!$K23*100)</f>
        <v>6.7877219853804363</v>
      </c>
      <c r="H23">
        <f>IF(ISNA(nom_unconverted!H23),NA(),nom_unconverted!H23/nom_unconverted!$K23*100)</f>
        <v>7.2181628917704161</v>
      </c>
      <c r="I23" t="e">
        <f>IF(ISNA(nom_unconverted!I23),NA(),nom_unconverted!I23/nom_unconverted!$K23*100)</f>
        <v>#N/A</v>
      </c>
      <c r="J23" t="e">
        <f>nom_unconverted!J23/nom_unconverted!$K23*100</f>
        <v>#N/A</v>
      </c>
    </row>
    <row r="24" spans="1:10" x14ac:dyDescent="0.3">
      <c r="A24" s="5">
        <v>2021</v>
      </c>
      <c r="B24">
        <f>IF(ISNA(nom_unconverted!B24),NA(),nom_unconverted!B24/nom_unconverted!$K24*100)</f>
        <v>3.7303576503974472</v>
      </c>
      <c r="C24">
        <f>IF(ISNA(nom_unconverted!C24),NA(),nom_unconverted!C24/nom_unconverted!$K24*100)</f>
        <v>5.2967848888760285</v>
      </c>
      <c r="D24" t="e">
        <f>IF(ISNA(nom_unconverted!D24),NA(),nom_unconverted!D24/nom_unconverted!$K24*100)</f>
        <v>#N/A</v>
      </c>
      <c r="E24" t="e">
        <f>IF(ISNA(nom_unconverted!E24),NA(),nom_unconverted!E24/nom_unconverted!$K24*100)</f>
        <v>#N/A</v>
      </c>
      <c r="F24" t="e">
        <f>IF(ISNA(nom_unconverted!F24),NA(),nom_unconverted!F24/nom_unconverted!$K24*100)</f>
        <v>#N/A</v>
      </c>
      <c r="G24">
        <f>IF(ISNA(nom_unconverted!G24),NA(),nom_unconverted!G24/nom_unconverted!$K24*100)</f>
        <v>6.7501709864334751</v>
      </c>
      <c r="H24">
        <f>IF(ISNA(nom_unconverted!H24),NA(),nom_unconverted!H24/nom_unconverted!$K24*100)</f>
        <v>7.1942611829093632</v>
      </c>
      <c r="I24" t="e">
        <f>IF(ISNA(nom_unconverted!I24),NA(),nom_unconverted!I24/nom_unconverted!$K24*100)</f>
        <v>#N/A</v>
      </c>
      <c r="J24" t="e">
        <f>nom_unconverted!J24/nom_unconverted!$K24*100</f>
        <v>#N/A</v>
      </c>
    </row>
    <row r="25" spans="1:10" x14ac:dyDescent="0.3">
      <c r="A25" s="5">
        <v>2022</v>
      </c>
      <c r="B25">
        <f>IF(ISNA(nom_unconverted!B25),NA(),nom_unconverted!B25/nom_unconverted!$K25*100)</f>
        <v>3.5986813333286114</v>
      </c>
      <c r="C25">
        <f>IF(ISNA(nom_unconverted!C25),NA(),nom_unconverted!C25/nom_unconverted!$K25*100)</f>
        <v>5.1099778600071559</v>
      </c>
      <c r="D25" t="e">
        <f>IF(ISNA(nom_unconverted!D25),NA(),nom_unconverted!D25/nom_unconverted!$K25*100)</f>
        <v>#N/A</v>
      </c>
      <c r="E25">
        <f>IF(ISNA(nom_unconverted!E25),NA(),nom_unconverted!E25/nom_unconverted!$K25*100)</f>
        <v>6.8681693638163521</v>
      </c>
      <c r="F25">
        <f>IF(ISNA(nom_unconverted!F25),NA(),nom_unconverted!F25/nom_unconverted!$K25*100)</f>
        <v>7.1075826749733491</v>
      </c>
      <c r="G25" t="e">
        <f>IF(ISNA(nom_unconverted!G25),NA(),nom_unconverted!G25/nom_unconverted!$K25*100)</f>
        <v>#N/A</v>
      </c>
      <c r="H25" t="e">
        <f>IF(ISNA(nom_unconverted!H25),NA(),nom_unconverted!H25/nom_unconverted!$K25*100)</f>
        <v>#N/A</v>
      </c>
      <c r="I25" t="e">
        <f>IF(ISNA(nom_unconverted!I25),NA(),nom_unconverted!I25/nom_unconverted!$K25*100)</f>
        <v>#N/A</v>
      </c>
      <c r="J25" t="e">
        <f>nom_unconverted!J25/nom_unconverted!$K25*100</f>
        <v>#N/A</v>
      </c>
    </row>
    <row r="26" spans="1:10" x14ac:dyDescent="0.3">
      <c r="A26" s="5">
        <v>2023</v>
      </c>
      <c r="B26">
        <f>IF(ISNA(nom_unconverted!B26),NA(),nom_unconverted!B26/nom_unconverted!$K26*100)</f>
        <v>3.6990101072046406</v>
      </c>
      <c r="C26">
        <f>IF(ISNA(nom_unconverted!C26),NA(),nom_unconverted!C26/nom_unconverted!$K26*100)</f>
        <v>5.2472700195005224</v>
      </c>
      <c r="D26" t="e">
        <f>IF(ISNA(nom_unconverted!D26),NA(),nom_unconverted!D26/nom_unconverted!$K26*100)</f>
        <v>#N/A</v>
      </c>
      <c r="E26">
        <f>IF(ISNA(nom_unconverted!E26),NA(),nom_unconverted!E26/nom_unconverted!$K26*100)</f>
        <v>7.1318035779059166</v>
      </c>
      <c r="F26">
        <f>IF(ISNA(nom_unconverted!F26),NA(),nom_unconverted!F26/nom_unconverted!$K26*100)</f>
        <v>7.2999404009606739</v>
      </c>
      <c r="G26" t="e">
        <f>IF(ISNA(nom_unconverted!G26),NA(),nom_unconverted!G26/nom_unconverted!$K26*100)</f>
        <v>#N/A</v>
      </c>
      <c r="H26" t="e">
        <f>IF(ISNA(nom_unconverted!H26),NA(),nom_unconverted!H26/nom_unconverted!$K26*100)</f>
        <v>#N/A</v>
      </c>
      <c r="I26" t="e">
        <f>IF(ISNA(nom_unconverted!I26),NA(),nom_unconverted!I26/nom_unconverted!$K26*100)</f>
        <v>#N/A</v>
      </c>
      <c r="J26" t="e">
        <f>nom_unconverted!J26/nom_unconverted!$K26*100</f>
        <v>#N/A</v>
      </c>
    </row>
    <row r="27" spans="1:10" x14ac:dyDescent="0.3">
      <c r="A27" s="5">
        <v>2024</v>
      </c>
      <c r="B27">
        <f>IF(ISNA(nom_unconverted!B27),NA(),nom_unconverted!B27/nom_unconverted!$K27*100)</f>
        <v>4.3416096864427214</v>
      </c>
      <c r="C27">
        <f>IF(ISNA(nom_unconverted!C27),NA(),nom_unconverted!C27/nom_unconverted!$K27*100)</f>
        <v>5.8340380161574057</v>
      </c>
      <c r="D27">
        <f>IF(ISNA(nom_unconverted!D27),NA(),nom_unconverted!D27/nom_unconverted!$K27*100)</f>
        <v>7.7606273145163618</v>
      </c>
      <c r="E27" t="e">
        <f>IF(ISNA(nom_unconverted!E27),NA(),nom_unconverted!E27/nom_unconverted!$K27*100)</f>
        <v>#N/A</v>
      </c>
      <c r="F27" t="e">
        <f>IF(ISNA(nom_unconverted!F27),NA(),nom_unconverted!F27/nom_unconverted!$K27*100)</f>
        <v>#N/A</v>
      </c>
      <c r="G27" t="e">
        <f>IF(ISNA(nom_unconverted!G27),NA(),nom_unconverted!G27/nom_unconverted!$K27*100)</f>
        <v>#N/A</v>
      </c>
      <c r="H27" t="e">
        <f>IF(ISNA(nom_unconverted!H27),NA(),nom_unconverted!H27/nom_unconverted!$K27*100)</f>
        <v>#N/A</v>
      </c>
      <c r="I27" t="e">
        <f>IF(ISNA(nom_unconverted!I27),NA(),nom_unconverted!I27/nom_unconverted!$K27*100)</f>
        <v>#N/A</v>
      </c>
      <c r="J27" t="e">
        <f>nom_unconverted!J27/nom_unconverted!$K27*100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E490B-0F3A-467A-A10C-92E0D8D54D53}">
  <dimension ref="A1:K27"/>
  <sheetViews>
    <sheetView tabSelected="1" workbookViewId="0">
      <selection activeCell="O18" sqref="O18"/>
    </sheetView>
  </sheetViews>
  <sheetFormatPr defaultRowHeight="14.4" x14ac:dyDescent="0.3"/>
  <cols>
    <col min="10" max="10" width="12.88671875" customWidth="1"/>
  </cols>
  <sheetData>
    <row r="1" spans="1:11" x14ac:dyDescent="0.3">
      <c r="A1" s="4" t="s">
        <v>12</v>
      </c>
      <c r="B1" s="4" t="s">
        <v>0</v>
      </c>
      <c r="C1" s="4">
        <v>18</v>
      </c>
      <c r="D1" s="4">
        <v>19</v>
      </c>
      <c r="E1" s="4">
        <v>20</v>
      </c>
      <c r="F1" s="4">
        <v>21</v>
      </c>
      <c r="G1" s="4">
        <v>22</v>
      </c>
      <c r="H1" s="4">
        <v>23</v>
      </c>
      <c r="I1" s="4">
        <v>24</v>
      </c>
      <c r="J1" s="4" t="s">
        <v>8</v>
      </c>
      <c r="K1" s="6" t="s">
        <v>11</v>
      </c>
    </row>
    <row r="2" spans="1:11" x14ac:dyDescent="0.3">
      <c r="A2" s="5">
        <v>1999</v>
      </c>
      <c r="B2" t="e">
        <f>IF(ISNA(nom_converted!B2),NA(),nom_converted!B2/nom_converted!$K2*100)</f>
        <v>#N/A</v>
      </c>
      <c r="C2">
        <f>IF(ISNA(nom_converted!C2),NA(),nom_converted!C2/nom_converted!$K2*100)</f>
        <v>3.7259676122962895</v>
      </c>
      <c r="D2">
        <f>IF(ISNA(nom_converted!D2),NA(),nom_converted!D2/nom_converted!$K2*100)</f>
        <v>3.7259676122962895</v>
      </c>
      <c r="E2">
        <f>IF(ISNA(nom_converted!E2),NA(),nom_converted!E2/nom_converted!$K2*100)</f>
        <v>3.7259676122962895</v>
      </c>
      <c r="F2">
        <f>IF(ISNA(nom_converted!F2),NA(),nom_converted!F2/nom_converted!$K2*100)</f>
        <v>3.7259676122962895</v>
      </c>
      <c r="G2">
        <f>IF(ISNA(nom_converted!G2),NA(),nom_converted!G2/nom_converted!$K2*100)</f>
        <v>4.4711611347555484</v>
      </c>
      <c r="H2">
        <f>IF(ISNA(nom_converted!H2),NA(),nom_converted!H2/nom_converted!$K2*100)</f>
        <v>4.4711611347555484</v>
      </c>
      <c r="I2">
        <f>IF(ISNA(nom_converted!I2),NA(),nom_converted!I2/nom_converted!$K2*100)</f>
        <v>4.4711611347555484</v>
      </c>
      <c r="J2">
        <f>IF(ISNA(nom_converted!J2),NA(),nom_converted!J2/nom_converted!$K2*100)</f>
        <v>4.4711611347555484</v>
      </c>
      <c r="K2">
        <v>80.515997780000006</v>
      </c>
    </row>
    <row r="3" spans="1:11" x14ac:dyDescent="0.3">
      <c r="A3" s="5">
        <v>2000</v>
      </c>
      <c r="B3" t="e">
        <f>IF(ISNA(nom_converted!B3),NA(),nom_converted!B3/nom_converted!$K3*100)</f>
        <v>#N/A</v>
      </c>
      <c r="C3">
        <f>IF(ISNA(nom_converted!C3),NA(),nom_converted!C3/nom_converted!$K3*100)</f>
        <v>3.9279001136179477</v>
      </c>
      <c r="D3">
        <f>IF(ISNA(nom_converted!D3),NA(),nom_converted!D3/nom_converted!$K3*100)</f>
        <v>3.9279001136179477</v>
      </c>
      <c r="E3">
        <f>IF(ISNA(nom_converted!E3),NA(),nom_converted!E3/nom_converted!$K3*100)</f>
        <v>3.9279001136179477</v>
      </c>
      <c r="F3">
        <f>IF(ISNA(nom_converted!F3),NA(),nom_converted!F3/nom_converted!$K3*100)</f>
        <v>3.9279001136179477</v>
      </c>
      <c r="G3">
        <f>IF(ISNA(nom_converted!G3),NA(),nom_converted!G3/nom_converted!$K3*100)</f>
        <v>4.5416345063707526</v>
      </c>
      <c r="H3">
        <f>IF(ISNA(nom_converted!H3),NA(),nom_converted!H3/nom_converted!$K3*100)</f>
        <v>4.5416345063707526</v>
      </c>
      <c r="I3">
        <f>IF(ISNA(nom_converted!I3),NA(),nom_converted!I3/nom_converted!$K3*100)</f>
        <v>4.5416345063707526</v>
      </c>
      <c r="J3">
        <f>IF(ISNA(nom_converted!J3),NA(),nom_converted!J3/nom_converted!$K3*100)</f>
        <v>4.5416345063707526</v>
      </c>
      <c r="K3">
        <v>81.468466800000002</v>
      </c>
    </row>
    <row r="4" spans="1:11" x14ac:dyDescent="0.3">
      <c r="A4" s="5">
        <v>2001</v>
      </c>
      <c r="B4" t="e">
        <f>IF(ISNA(nom_converted!B4),NA(),nom_converted!B4/nom_converted!$K4*100)</f>
        <v>#N/A</v>
      </c>
      <c r="C4">
        <f>IF(ISNA(nom_converted!C4),NA(),nom_converted!C4/nom_converted!$K4*100)</f>
        <v>4.2313024035612399</v>
      </c>
      <c r="D4">
        <f>IF(ISNA(nom_converted!D4),NA(),nom_converted!D4/nom_converted!$K4*100)</f>
        <v>4.2313024035612399</v>
      </c>
      <c r="E4">
        <f>IF(ISNA(nom_converted!E4),NA(),nom_converted!E4/nom_converted!$K4*100)</f>
        <v>4.2313024035612399</v>
      </c>
      <c r="F4">
        <f>IF(ISNA(nom_converted!F4),NA(),nom_converted!F4/nom_converted!$K4*100)</f>
        <v>4.2313024035612399</v>
      </c>
      <c r="G4">
        <f>IF(ISNA(nom_converted!G4),NA(),nom_converted!G4/nom_converted!$K4*100)</f>
        <v>4.9566685298860236</v>
      </c>
      <c r="H4">
        <f>IF(ISNA(nom_converted!H4),NA(),nom_converted!H4/nom_converted!$K4*100)</f>
        <v>4.9566685298860236</v>
      </c>
      <c r="I4">
        <f>IF(ISNA(nom_converted!I4),NA(),nom_converted!I4/nom_converted!$K4*100)</f>
        <v>4.9566685298860236</v>
      </c>
      <c r="J4">
        <f>IF(ISNA(nom_converted!J4),NA(),nom_converted!J4/nom_converted!$K4*100)</f>
        <v>4.9566685298860236</v>
      </c>
      <c r="K4">
        <v>82.716848529999993</v>
      </c>
    </row>
    <row r="5" spans="1:11" x14ac:dyDescent="0.3">
      <c r="A5" s="5">
        <v>2002</v>
      </c>
      <c r="B5" t="e">
        <f>IF(ISNA(nom_converted!B5),NA(),nom_converted!B5/nom_converted!$K5*100)</f>
        <v>#N/A</v>
      </c>
      <c r="C5">
        <f>IF(ISNA(nom_converted!C5),NA(),nom_converted!C5/nom_converted!$K5*100)</f>
        <v>4.1679330469780185</v>
      </c>
      <c r="D5">
        <f>IF(ISNA(nom_converted!D5),NA(),nom_converted!D5/nom_converted!$K5*100)</f>
        <v>4.1679330469780185</v>
      </c>
      <c r="E5">
        <f>IF(ISNA(nom_converted!E5),NA(),nom_converted!E5/nom_converted!$K5*100)</f>
        <v>4.1679330469780185</v>
      </c>
      <c r="F5">
        <f>IF(ISNA(nom_converted!F5),NA(),nom_converted!F5/nom_converted!$K5*100)</f>
        <v>4.1679330469780185</v>
      </c>
      <c r="G5">
        <f>IF(ISNA(nom_converted!G5),NA(),nom_converted!G5/nom_converted!$K5*100)</f>
        <v>5.0015196563736213</v>
      </c>
      <c r="H5">
        <f>IF(ISNA(nom_converted!H5),NA(),nom_converted!H5/nom_converted!$K5*100)</f>
        <v>5.0015196563736213</v>
      </c>
      <c r="I5">
        <f>IF(ISNA(nom_converted!I5),NA(),nom_converted!I5/nom_converted!$K5*100)</f>
        <v>5.0015196563736213</v>
      </c>
      <c r="J5">
        <f>IF(ISNA(nom_converted!J5),NA(),nom_converted!J5/nom_converted!$K5*100)</f>
        <v>5.0015196563736213</v>
      </c>
      <c r="K5">
        <v>83.974477530000001</v>
      </c>
    </row>
    <row r="6" spans="1:11" x14ac:dyDescent="0.3">
      <c r="A6" s="5">
        <v>2003</v>
      </c>
      <c r="B6" t="e">
        <f>IF(ISNA(nom_converted!B6),NA(),nom_converted!B6/nom_converted!$K6*100)</f>
        <v>#N/A</v>
      </c>
      <c r="C6">
        <f>IF(ISNA(nom_converted!C6),NA(),nom_converted!C6/nom_converted!$K6*100)</f>
        <v>4.463741038241972</v>
      </c>
      <c r="D6">
        <f>IF(ISNA(nom_converted!D6),NA(),nom_converted!D6/nom_converted!$K6*100)</f>
        <v>4.463741038241972</v>
      </c>
      <c r="E6">
        <f>IF(ISNA(nom_converted!E6),NA(),nom_converted!E6/nom_converted!$K6*100)</f>
        <v>4.463741038241972</v>
      </c>
      <c r="F6">
        <f>IF(ISNA(nom_converted!F6),NA(),nom_converted!F6/nom_converted!$K6*100)</f>
        <v>4.463741038241972</v>
      </c>
      <c r="G6">
        <f>IF(ISNA(nom_converted!G6),NA(),nom_converted!G6/nom_converted!$K6*100)</f>
        <v>5.2860091242339138</v>
      </c>
      <c r="H6">
        <f>IF(ISNA(nom_converted!H6),NA(),nom_converted!H6/nom_converted!$K6*100)</f>
        <v>5.2860091242339138</v>
      </c>
      <c r="I6">
        <f>IF(ISNA(nom_converted!I6),NA(),nom_converted!I6/nom_converted!$K6*100)</f>
        <v>5.2860091242339138</v>
      </c>
      <c r="J6">
        <f>IF(ISNA(nom_converted!J6),NA(),nom_converted!J6/nom_converted!$K6*100)</f>
        <v>5.2860091242339138</v>
      </c>
      <c r="K6">
        <v>85.130386540000003</v>
      </c>
    </row>
    <row r="7" spans="1:11" x14ac:dyDescent="0.3">
      <c r="A7" s="5">
        <v>2004</v>
      </c>
      <c r="B7">
        <f>IF(ISNA(nom_converted!B7),NA(),nom_converted!B7/nom_converted!$K7*100)</f>
        <v>3.4756803085082799</v>
      </c>
      <c r="C7">
        <f>IF(ISNA(nom_converted!C7),NA(),nom_converted!C7/nom_converted!$K7*100)</f>
        <v>4.7500964216279824</v>
      </c>
      <c r="D7">
        <f>IF(ISNA(nom_converted!D7),NA(),nom_converted!D7/nom_converted!$K7*100)</f>
        <v>4.7500964216279824</v>
      </c>
      <c r="E7">
        <f>IF(ISNA(nom_converted!E7),NA(),nom_converted!E7/nom_converted!$K7*100)</f>
        <v>4.7500964216279824</v>
      </c>
      <c r="F7">
        <f>IF(ISNA(nom_converted!F7),NA(),nom_converted!F7/nom_converted!$K7*100)</f>
        <v>4.7500964216279824</v>
      </c>
      <c r="G7">
        <f>IF(ISNA(nom_converted!G7),NA(),nom_converted!G7/nom_converted!$K7*100)</f>
        <v>5.6190164987550517</v>
      </c>
      <c r="H7">
        <f>IF(ISNA(nom_converted!H7),NA(),nom_converted!H7/nom_converted!$K7*100)</f>
        <v>5.6190164987550517</v>
      </c>
      <c r="I7">
        <f>IF(ISNA(nom_converted!I7),NA(),nom_converted!I7/nom_converted!$K7*100)</f>
        <v>5.6190164987550517</v>
      </c>
      <c r="J7">
        <f>IF(ISNA(nom_converted!J7),NA(),nom_converted!J7/nom_converted!$K7*100)</f>
        <v>5.6190164987550517</v>
      </c>
      <c r="K7">
        <v>86.31403736</v>
      </c>
    </row>
    <row r="8" spans="1:11" x14ac:dyDescent="0.3">
      <c r="A8" s="5">
        <v>2005</v>
      </c>
      <c r="B8">
        <f>IF(ISNA(nom_converted!B8),NA(),nom_converted!B8/nom_converted!$K8*100)</f>
        <v>3.4045545177744434</v>
      </c>
      <c r="C8">
        <f>IF(ISNA(nom_converted!C8),NA(),nom_converted!C8/nom_converted!$K8*100)</f>
        <v>4.8231189001804609</v>
      </c>
      <c r="D8">
        <f>IF(ISNA(nom_converted!D8),NA(),nom_converted!D8/nom_converted!$K8*100)</f>
        <v>4.8231189001804609</v>
      </c>
      <c r="E8">
        <f>IF(ISNA(nom_converted!E8),NA(),nom_converted!E8/nom_converted!$K8*100)</f>
        <v>4.8231189001804609</v>
      </c>
      <c r="F8">
        <f>IF(ISNA(nom_converted!F8),NA(),nom_converted!F8/nom_converted!$K8*100)</f>
        <v>4.8231189001804609</v>
      </c>
      <c r="G8">
        <f>IF(ISNA(nom_converted!G8),NA(),nom_converted!G8/nom_converted!$K8*100)</f>
        <v>5.7310001049203123</v>
      </c>
      <c r="H8">
        <f>IF(ISNA(nom_converted!H8),NA(),nom_converted!H8/nom_converted!$K8*100)</f>
        <v>5.7310001049203123</v>
      </c>
      <c r="I8">
        <f>IF(ISNA(nom_converted!I8),NA(),nom_converted!I8/nom_converted!$K8*100)</f>
        <v>5.7310001049203123</v>
      </c>
      <c r="J8">
        <f>IF(ISNA(nom_converted!J8),NA(),nom_converted!J8/nom_converted!$K8*100)</f>
        <v>5.7310001049203123</v>
      </c>
      <c r="K8">
        <v>88.117255409999999</v>
      </c>
    </row>
    <row r="9" spans="1:11" x14ac:dyDescent="0.3">
      <c r="A9" s="5">
        <v>2006</v>
      </c>
      <c r="B9">
        <f>IF(ISNA(nom_converted!B9),NA(),nom_converted!B9/nom_converted!$K9*100)</f>
        <v>3.655249411060483</v>
      </c>
      <c r="C9">
        <f>IF(ISNA(nom_converted!C9),NA(),nom_converted!C9/nom_converted!$K9*100)</f>
        <v>4.9290484482482269</v>
      </c>
      <c r="D9">
        <f>IF(ISNA(nom_converted!D9),NA(),nom_converted!D9/nom_converted!$K9*100)</f>
        <v>4.9290484482482269</v>
      </c>
      <c r="E9">
        <f>IF(ISNA(nom_converted!E9),NA(),nom_converted!E9/nom_converted!$K9*100)</f>
        <v>4.9290484482482269</v>
      </c>
      <c r="F9">
        <f>IF(ISNA(nom_converted!F9),NA(),nom_converted!F9/nom_converted!$K9*100)</f>
        <v>4.9290484482482269</v>
      </c>
      <c r="G9">
        <f>IF(ISNA(nom_converted!G9),NA(),nom_converted!G9/nom_converted!$K9*100)</f>
        <v>5.925934651264722</v>
      </c>
      <c r="H9">
        <f>IF(ISNA(nom_converted!H9),NA(),nom_converted!H9/nom_converted!$K9*100)</f>
        <v>5.925934651264722</v>
      </c>
      <c r="I9">
        <f>IF(ISNA(nom_converted!I9),NA(),nom_converted!I9/nom_converted!$K9*100)</f>
        <v>5.925934651264722</v>
      </c>
      <c r="J9">
        <f>IF(ISNA(nom_converted!J9),NA(),nom_converted!J9/nom_converted!$K9*100)</f>
        <v>5.925934651264722</v>
      </c>
      <c r="K9">
        <v>90.281117069999993</v>
      </c>
    </row>
    <row r="10" spans="1:11" x14ac:dyDescent="0.3">
      <c r="A10" s="5">
        <v>2007</v>
      </c>
      <c r="B10">
        <f>IF(ISNA(nom_converted!B10),NA(),nom_converted!B10/nom_converted!$K10*100)</f>
        <v>3.6782312924859499</v>
      </c>
      <c r="C10">
        <f>IF(ISNA(nom_converted!C10),NA(),nom_converted!C10/nom_converted!$K10*100)</f>
        <v>4.9764305721868736</v>
      </c>
      <c r="D10">
        <f>IF(ISNA(nom_converted!D10),NA(),nom_converted!D10/nom_converted!$K10*100)</f>
        <v>4.9764305721868736</v>
      </c>
      <c r="E10">
        <f>IF(ISNA(nom_converted!E10),NA(),nom_converted!E10/nom_converted!$K10*100)</f>
        <v>4.9764305721868736</v>
      </c>
      <c r="F10">
        <f>IF(ISNA(nom_converted!F10),NA(),nom_converted!F10/nom_converted!$K10*100)</f>
        <v>4.9764305721868736</v>
      </c>
      <c r="G10">
        <f>IF(ISNA(nom_converted!G10),NA(),nom_converted!G10/nom_converted!$K10*100)</f>
        <v>5.9717166866242479</v>
      </c>
      <c r="H10">
        <f>IF(ISNA(nom_converted!H10),NA(),nom_converted!H10/nom_converted!$K10*100)</f>
        <v>5.9717166866242479</v>
      </c>
      <c r="I10">
        <f>IF(ISNA(nom_converted!I10),NA(),nom_converted!I10/nom_converted!$K10*100)</f>
        <v>5.9717166866242479</v>
      </c>
      <c r="J10">
        <f>IF(ISNA(nom_converted!J10),NA(),nom_converted!J10/nom_converted!$K10*100)</f>
        <v>5.9717166866242479</v>
      </c>
      <c r="K10">
        <v>92.43573146</v>
      </c>
    </row>
    <row r="11" spans="1:11" x14ac:dyDescent="0.3">
      <c r="A11" s="5">
        <v>2008</v>
      </c>
      <c r="B11">
        <f>IF(ISNA(nom_converted!B11),NA(),nom_converted!B11/nom_converted!$K11*100)</f>
        <v>3.6889659838609457</v>
      </c>
      <c r="C11">
        <f>IF(ISNA(nom_converted!C11),NA(),nom_converted!C11/nom_converted!$K11*100)</f>
        <v>4.984806726067057</v>
      </c>
      <c r="D11">
        <f>IF(ISNA(nom_converted!D11),NA(),nom_converted!D11/nom_converted!$K11*100)</f>
        <v>4.984806726067057</v>
      </c>
      <c r="E11">
        <f>IF(ISNA(nom_converted!E11),NA(),nom_converted!E11/nom_converted!$K11*100)</f>
        <v>4.984806726067057</v>
      </c>
      <c r="F11">
        <f>IF(ISNA(nom_converted!F11),NA(),nom_converted!F11/nom_converted!$K11*100)</f>
        <v>4.984806726067057</v>
      </c>
      <c r="G11">
        <f>IF(ISNA(nom_converted!G11),NA(),nom_converted!G11/nom_converted!$K11*100)</f>
        <v>5.9880382684201763</v>
      </c>
      <c r="H11">
        <f>IF(ISNA(nom_converted!H11),NA(),nom_converted!H11/nom_converted!$K11*100)</f>
        <v>5.9880382684201763</v>
      </c>
      <c r="I11">
        <f>IF(ISNA(nom_converted!I11),NA(),nom_converted!I11/nom_converted!$K11*100)</f>
        <v>5.9880382684201763</v>
      </c>
      <c r="J11">
        <f>IF(ISNA(nom_converted!J11),NA(),nom_converted!J11/nom_converted!$K11*100)</f>
        <v>5.9880382684201763</v>
      </c>
      <c r="K11">
        <v>95.690771220000002</v>
      </c>
    </row>
    <row r="12" spans="1:11" x14ac:dyDescent="0.3">
      <c r="A12" s="5">
        <v>2009</v>
      </c>
      <c r="B12">
        <f>IF(ISNA(nom_converted!B12),NA(),nom_converted!B12/nom_converted!$K12*100)</f>
        <v>3.6589877736558298</v>
      </c>
      <c r="C12">
        <f>IF(ISNA(nom_converted!C12),NA(),nom_converted!C12/nom_converted!$K12*100)</f>
        <v>4.9503952231814177</v>
      </c>
      <c r="D12">
        <f>IF(ISNA(nom_converted!D12),NA(),nom_converted!D12/nom_converted!$K12*100)</f>
        <v>4.9503952231814177</v>
      </c>
      <c r="E12">
        <f>IF(ISNA(nom_converted!E12),NA(),nom_converted!E12/nom_converted!$K12*100)</f>
        <v>4.9503952231814177</v>
      </c>
      <c r="F12">
        <f>IF(ISNA(nom_converted!F12),NA(),nom_converted!F12/nom_converted!$K12*100)</f>
        <v>4.9503952231814177</v>
      </c>
      <c r="G12">
        <f>IF(ISNA(nom_converted!G12),NA(),nom_converted!G12/nom_converted!$K12*100)</f>
        <v>5.944573974006671</v>
      </c>
      <c r="H12">
        <f>IF(ISNA(nom_converted!H12),NA(),nom_converted!H12/nom_converted!$K12*100)</f>
        <v>5.944573974006671</v>
      </c>
      <c r="I12">
        <f>IF(ISNA(nom_converted!I12),NA(),nom_converted!I12/nom_converted!$K12*100)</f>
        <v>5.944573974006671</v>
      </c>
      <c r="J12">
        <f>IF(ISNA(nom_converted!J12),NA(),nom_converted!J12/nom_converted!$K12*100)</f>
        <v>5.944573974006671</v>
      </c>
      <c r="K12">
        <v>97.567967449999998</v>
      </c>
    </row>
    <row r="13" spans="1:11" x14ac:dyDescent="0.3">
      <c r="A13" s="5">
        <v>2010</v>
      </c>
      <c r="B13">
        <f>IF(ISNA(nom_converted!B13),NA(),nom_converted!B13/nom_converted!$K13*100)</f>
        <v>3.64</v>
      </c>
      <c r="C13">
        <f>IF(ISNA(nom_converted!C13),NA(),nom_converted!C13/nom_converted!$K13*100)</f>
        <v>4.92</v>
      </c>
      <c r="D13">
        <f>IF(ISNA(nom_converted!D13),NA(),nom_converted!D13/nom_converted!$K13*100)</f>
        <v>4.92</v>
      </c>
      <c r="E13">
        <f>IF(ISNA(nom_converted!E13),NA(),nom_converted!E13/nom_converted!$K13*100)</f>
        <v>4.92</v>
      </c>
      <c r="F13">
        <f>IF(ISNA(nom_converted!F13),NA(),nom_converted!F13/nom_converted!$K13*100)</f>
        <v>5.93</v>
      </c>
      <c r="G13">
        <f>IF(ISNA(nom_converted!G13),NA(),nom_converted!G13/nom_converted!$K13*100)</f>
        <v>5.93</v>
      </c>
      <c r="H13">
        <f>IF(ISNA(nom_converted!H13),NA(),nom_converted!H13/nom_converted!$K13*100)</f>
        <v>5.93</v>
      </c>
      <c r="I13">
        <f>IF(ISNA(nom_converted!I13),NA(),nom_converted!I13/nom_converted!$K13*100)</f>
        <v>5.93</v>
      </c>
      <c r="J13">
        <f>IF(ISNA(nom_converted!J13),NA(),nom_converted!J13/nom_converted!$K13*100)</f>
        <v>5.93</v>
      </c>
      <c r="K13">
        <v>100</v>
      </c>
    </row>
    <row r="14" spans="1:11" x14ac:dyDescent="0.3">
      <c r="A14" s="5">
        <v>2011</v>
      </c>
      <c r="B14">
        <f>IF(ISNA(nom_converted!B14),NA(),nom_converted!B14/nom_converted!$K14*100)</f>
        <v>3.5433639050791199</v>
      </c>
      <c r="C14">
        <f>IF(ISNA(nom_converted!C14),NA(),nom_converted!C14/nom_converted!$K14*100)</f>
        <v>4.795095719373375</v>
      </c>
      <c r="D14">
        <f>IF(ISNA(nom_converted!D14),NA(),nom_converted!D14/nom_converted!$K14*100)</f>
        <v>4.795095719373375</v>
      </c>
      <c r="E14">
        <f>IF(ISNA(nom_converted!E14),NA(),nom_converted!E14/nom_converted!$K14*100)</f>
        <v>4.795095719373375</v>
      </c>
      <c r="F14">
        <f>IF(ISNA(nom_converted!F14),NA(),nom_converted!F14/nom_converted!$K14*100)</f>
        <v>5.8542534083915898</v>
      </c>
      <c r="G14">
        <f>IF(ISNA(nom_converted!G14),NA(),nom_converted!G14/nom_converted!$K14*100)</f>
        <v>5.8542534083915898</v>
      </c>
      <c r="H14">
        <f>IF(ISNA(nom_converted!H14),NA(),nom_converted!H14/nom_converted!$K14*100)</f>
        <v>5.8542534083915898</v>
      </c>
      <c r="I14">
        <f>IF(ISNA(nom_converted!I14),NA(),nom_converted!I14/nom_converted!$K14*100)</f>
        <v>5.8542534083915898</v>
      </c>
      <c r="J14">
        <f>IF(ISNA(nom_converted!J14),NA(),nom_converted!J14/nom_converted!$K14*100)</f>
        <v>5.8542534083915898</v>
      </c>
      <c r="K14">
        <v>103.8561124</v>
      </c>
    </row>
    <row r="15" spans="1:11" x14ac:dyDescent="0.3">
      <c r="A15" s="5">
        <v>2012</v>
      </c>
      <c r="B15">
        <f>IF(ISNA(nom_converted!B15),NA(),nom_converted!B15/nom_converted!$K15*100)</f>
        <v>3.4544722212704428</v>
      </c>
      <c r="C15">
        <f>IF(ISNA(nom_converted!C15),NA(),nom_converted!C15/nom_converted!$K15*100)</f>
        <v>4.6748020820453284</v>
      </c>
      <c r="D15">
        <f>IF(ISNA(nom_converted!D15),NA(),nom_converted!D15/nom_converted!$K15*100)</f>
        <v>4.6748020820453284</v>
      </c>
      <c r="E15">
        <f>IF(ISNA(nom_converted!E15),NA(),nom_converted!E15/nom_converted!$K15*100)</f>
        <v>4.6748020820453284</v>
      </c>
      <c r="F15">
        <f>IF(ISNA(nom_converted!F15),NA(),nom_converted!F15/nom_converted!$K15*100)</f>
        <v>5.8106475678434899</v>
      </c>
      <c r="G15">
        <f>IF(ISNA(nom_converted!G15),NA(),nom_converted!G15/nom_converted!$K15*100)</f>
        <v>5.8106475678434899</v>
      </c>
      <c r="H15">
        <f>IF(ISNA(nom_converted!H15),NA(),nom_converted!H15/nom_converted!$K15*100)</f>
        <v>5.8106475678434899</v>
      </c>
      <c r="I15">
        <f>IF(ISNA(nom_converted!I15),NA(),nom_converted!I15/nom_converted!$K15*100)</f>
        <v>5.8106475678434899</v>
      </c>
      <c r="J15">
        <f>IF(ISNA(nom_converted!J15),NA(),nom_converted!J15/nom_converted!$K15*100)</f>
        <v>5.8106475678434899</v>
      </c>
      <c r="K15">
        <v>106.5285741</v>
      </c>
    </row>
    <row r="16" spans="1:11" x14ac:dyDescent="0.3">
      <c r="A16" s="5">
        <v>2013</v>
      </c>
      <c r="B16">
        <f>IF(ISNA(nom_converted!B16),NA(),nom_converted!B16/nom_converted!$K16*100)</f>
        <v>3.4137881871565945</v>
      </c>
      <c r="C16">
        <f>IF(ISNA(nom_converted!C16),NA(),nom_converted!C16/nom_converted!$K16*100)</f>
        <v>4.6159555326337829</v>
      </c>
      <c r="D16">
        <f>IF(ISNA(nom_converted!D16),NA(),nom_converted!D16/nom_converted!$K16*100)</f>
        <v>4.6159555326337829</v>
      </c>
      <c r="E16">
        <f>IF(ISNA(nom_converted!E16),NA(),nom_converted!E16/nom_converted!$K16*100)</f>
        <v>4.6159555326337829</v>
      </c>
      <c r="F16">
        <f>IF(ISNA(nom_converted!F16),NA(),nom_converted!F16/nom_converted!$K16*100)</f>
        <v>5.7905923282145455</v>
      </c>
      <c r="G16">
        <f>IF(ISNA(nom_converted!G16),NA(),nom_converted!G16/nom_converted!$K16*100)</f>
        <v>5.7905923282145455</v>
      </c>
      <c r="H16">
        <f>IF(ISNA(nom_converted!H16),NA(),nom_converted!H16/nom_converted!$K16*100)</f>
        <v>5.7905923282145455</v>
      </c>
      <c r="I16">
        <f>IF(ISNA(nom_converted!I16),NA(),nom_converted!I16/nom_converted!$K16*100)</f>
        <v>5.7905923282145455</v>
      </c>
      <c r="J16">
        <f>IF(ISNA(nom_converted!J16),NA(),nom_converted!J16/nom_converted!$K16*100)</f>
        <v>5.7905923282145455</v>
      </c>
      <c r="K16">
        <v>108.9698539</v>
      </c>
    </row>
    <row r="17" spans="1:11" x14ac:dyDescent="0.3">
      <c r="A17" s="5">
        <v>2014</v>
      </c>
      <c r="B17">
        <f>IF(ISNA(nom_converted!B17),NA(),nom_converted!B17/nom_converted!$K17*100)</f>
        <v>3.428277708520437</v>
      </c>
      <c r="C17">
        <f>IF(ISNA(nom_converted!C17),NA(),nom_converted!C17/nom_converted!$K17*100)</f>
        <v>4.6403864497915146</v>
      </c>
      <c r="D17">
        <f>IF(ISNA(nom_converted!D17),NA(),nom_converted!D17/nom_converted!$K17*100)</f>
        <v>4.6403864497915146</v>
      </c>
      <c r="E17">
        <f>IF(ISNA(nom_converted!E17),NA(),nom_converted!E17/nom_converted!$K17*100)</f>
        <v>4.6403864497915146</v>
      </c>
      <c r="F17">
        <f>IF(ISNA(nom_converted!F17),NA(),nom_converted!F17/nom_converted!$K17*100)</f>
        <v>5.8796319539268715</v>
      </c>
      <c r="G17">
        <f>IF(ISNA(nom_converted!G17),NA(),nom_converted!G17/nom_converted!$K17*100)</f>
        <v>5.8796319539268715</v>
      </c>
      <c r="H17">
        <f>IF(ISNA(nom_converted!H17),NA(),nom_converted!H17/nom_converted!$K17*100)</f>
        <v>5.8796319539268715</v>
      </c>
      <c r="I17">
        <f>IF(ISNA(nom_converted!I17),NA(),nom_converted!I17/nom_converted!$K17*100)</f>
        <v>5.8796319539268715</v>
      </c>
      <c r="J17">
        <f>IF(ISNA(nom_converted!J17),NA(),nom_converted!J17/nom_converted!$K17*100)</f>
        <v>5.8796319539268715</v>
      </c>
      <c r="K17">
        <v>110.5511374</v>
      </c>
    </row>
    <row r="18" spans="1:11" x14ac:dyDescent="0.3">
      <c r="A18" s="5">
        <v>2015</v>
      </c>
      <c r="B18">
        <f>IF(ISNA(nom_converted!B18),NA(),nom_converted!B18/nom_converted!$K18*100)</f>
        <v>3.4878056499953285</v>
      </c>
      <c r="C18">
        <f>IF(ISNA(nom_converted!C18),NA(),nom_converted!C18/nom_converted!$K18*100)</f>
        <v>4.7765813811305531</v>
      </c>
      <c r="D18">
        <f>IF(ISNA(nom_converted!D18),NA(),nom_converted!D18/nom_converted!$K18*100)</f>
        <v>4.7765813811305531</v>
      </c>
      <c r="E18">
        <f>IF(ISNA(nom_converted!E18),NA(),nom_converted!E18/nom_converted!$K18*100)</f>
        <v>4.7765813811305531</v>
      </c>
      <c r="F18">
        <f>IF(ISNA(nom_converted!F18),NA(),nom_converted!F18/nom_converted!$K18*100)</f>
        <v>6.0383198591650391</v>
      </c>
      <c r="G18">
        <f>IF(ISNA(nom_converted!G18),NA(),nom_converted!G18/nom_converted!$K18*100)</f>
        <v>6.0383198591650391</v>
      </c>
      <c r="H18">
        <f>IF(ISNA(nom_converted!H18),NA(),nom_converted!H18/nom_converted!$K18*100)</f>
        <v>6.0383198591650391</v>
      </c>
      <c r="I18">
        <f>IF(ISNA(nom_converted!I18),NA(),nom_converted!I18/nom_converted!$K18*100)</f>
        <v>6.0383198591650391</v>
      </c>
      <c r="J18">
        <f>IF(ISNA(nom_converted!J18),NA(),nom_converted!J18/nom_converted!$K18*100)</f>
        <v>6.0383198591650391</v>
      </c>
      <c r="K18">
        <v>110.9580174</v>
      </c>
    </row>
    <row r="19" spans="1:11" x14ac:dyDescent="0.3">
      <c r="A19" s="5">
        <v>2016</v>
      </c>
      <c r="B19">
        <f>IF(ISNA(nom_converted!B19),NA(),nom_converted!B19/nom_converted!$K19*100)</f>
        <v>3.4529851486225436</v>
      </c>
      <c r="C19">
        <f>IF(ISNA(nom_converted!C19),NA(),nom_converted!C19/nom_converted!$K19*100)</f>
        <v>4.7288943895864293</v>
      </c>
      <c r="D19">
        <f>IF(ISNA(nom_converted!D19),NA(),nom_converted!D19/nom_converted!$K19*100)</f>
        <v>4.7288943895864293</v>
      </c>
      <c r="E19">
        <f>IF(ISNA(nom_converted!E19),NA(),nom_converted!E19/nom_converted!$K19*100)</f>
        <v>4.7288943895864293</v>
      </c>
      <c r="F19">
        <f>IF(ISNA(nom_converted!F19),NA(),nom_converted!F19/nom_converted!$K19*100)</f>
        <v>5.9780363038168067</v>
      </c>
      <c r="G19">
        <f>IF(ISNA(nom_converted!G19),NA(),nom_converted!G19/nom_converted!$K19*100)</f>
        <v>5.9780363038168067</v>
      </c>
      <c r="H19">
        <f>IF(ISNA(nom_converted!H19),NA(),nom_converted!H19/nom_converted!$K19*100)</f>
        <v>5.9780363038168067</v>
      </c>
      <c r="I19">
        <f>IF(ISNA(nom_converted!I19),NA(),nom_converted!I19/nom_converted!$K19*100)</f>
        <v>5.9780363038168067</v>
      </c>
      <c r="J19">
        <f>IF(ISNA(nom_converted!J19),NA(),nom_converted!J19/nom_converted!$K19*100)</f>
        <v>6.4241584160419416</v>
      </c>
      <c r="K19">
        <v>112.0769373</v>
      </c>
    </row>
    <row r="20" spans="1:11" x14ac:dyDescent="0.3">
      <c r="A20" s="5">
        <v>2017</v>
      </c>
      <c r="B20">
        <f>IF(ISNA(nom_converted!B20),NA(),nom_converted!B20/nom_converted!$K20*100)</f>
        <v>3.5234674187786559</v>
      </c>
      <c r="C20">
        <f>IF(ISNA(nom_converted!C20),NA(),nom_converted!C20/nom_converted!$K20*100)</f>
        <v>4.8719549494223386</v>
      </c>
      <c r="D20">
        <f>IF(ISNA(nom_converted!D20),NA(),nom_converted!D20/nom_converted!$K20*100)</f>
        <v>4.8719549494223386</v>
      </c>
      <c r="E20">
        <f>IF(ISNA(nom_converted!E20),NA(),nom_converted!E20/nom_converted!$K20*100)</f>
        <v>4.8719549494223386</v>
      </c>
      <c r="F20">
        <f>IF(ISNA(nom_converted!F20),NA(),nom_converted!F20/nom_converted!$K20*100)</f>
        <v>6.1334432845406228</v>
      </c>
      <c r="G20">
        <f>IF(ISNA(nom_converted!G20),NA(),nom_converted!G20/nom_converted!$K20*100)</f>
        <v>6.1334432845406228</v>
      </c>
      <c r="H20">
        <f>IF(ISNA(nom_converted!H20),NA(),nom_converted!H20/nom_converted!$K20*100)</f>
        <v>6.1334432845406228</v>
      </c>
      <c r="I20">
        <f>IF(ISNA(nom_converted!I20),NA(),nom_converted!I20/nom_converted!$K20*100)</f>
        <v>6.1334432845406228</v>
      </c>
      <c r="J20">
        <f>IF(ISNA(nom_converted!J20),NA(),nom_converted!J20/nom_converted!$K20*100)</f>
        <v>6.5249396644049176</v>
      </c>
      <c r="K20">
        <v>114.9435916</v>
      </c>
    </row>
    <row r="21" spans="1:11" x14ac:dyDescent="0.3">
      <c r="A21" s="5">
        <v>2018</v>
      </c>
      <c r="B21">
        <f>IF(ISNA(nom_converted!B21),NA(),nom_converted!B21/nom_converted!$K21*100)</f>
        <v>3.5720644900318912</v>
      </c>
      <c r="C21">
        <f>IF(ISNA(nom_converted!C21),NA(),nom_converted!C21/nom_converted!$K21*100)</f>
        <v>5.0179001169495612</v>
      </c>
      <c r="D21">
        <f>IF(ISNA(nom_converted!D21),NA(),nom_converted!D21/nom_converted!$K21*100)</f>
        <v>5.0179001169495612</v>
      </c>
      <c r="E21">
        <f>IF(ISNA(nom_converted!E21),NA(),nom_converted!E21/nom_converted!$K21*100)</f>
        <v>5.0179001169495612</v>
      </c>
      <c r="F21">
        <f>IF(ISNA(nom_converted!F21),NA(),nom_converted!F21/nom_converted!$K21*100)</f>
        <v>6.2766276039131803</v>
      </c>
      <c r="G21">
        <f>IF(ISNA(nom_converted!G21),NA(),nom_converted!G21/nom_converted!$K21*100)</f>
        <v>6.2766276039131803</v>
      </c>
      <c r="H21">
        <f>IF(ISNA(nom_converted!H21),NA(),nom_converted!H21/nom_converted!$K21*100)</f>
        <v>6.2766276039131803</v>
      </c>
      <c r="I21">
        <f>IF(ISNA(nom_converted!I21),NA(),nom_converted!I21/nom_converted!$K21*100)</f>
        <v>6.2766276039131803</v>
      </c>
      <c r="J21">
        <f>IF(ISNA(nom_converted!J21),NA(),nom_converted!J21/nom_converted!$K21*100)</f>
        <v>6.6593487992737401</v>
      </c>
      <c r="K21">
        <v>117.5790642</v>
      </c>
    </row>
    <row r="22" spans="1:11" x14ac:dyDescent="0.3">
      <c r="A22" s="5">
        <v>2019</v>
      </c>
      <c r="B22">
        <f>IF(ISNA(nom_converted!B22),NA(),nom_converted!B22/nom_converted!$K22*100)</f>
        <v>3.6364332096525551</v>
      </c>
      <c r="C22">
        <f>IF(ISNA(nom_converted!C22),NA(),nom_converted!C22/nom_converted!$K22*100)</f>
        <v>5.1411641929570608</v>
      </c>
      <c r="D22">
        <f>IF(ISNA(nom_converted!D22),NA(),nom_converted!D22/nom_converted!$K22*100)</f>
        <v>5.1411641929570608</v>
      </c>
      <c r="E22">
        <f>IF(ISNA(nom_converted!E22),NA(),nom_converted!E22/nom_converted!$K22*100)</f>
        <v>5.1411641929570608</v>
      </c>
      <c r="F22">
        <f>IF(ISNA(nom_converted!F22),NA(),nom_converted!F22/nom_converted!$K22*100)</f>
        <v>6.4369047619137181</v>
      </c>
      <c r="G22">
        <f>IF(ISNA(nom_converted!G22),NA(),nom_converted!G22/nom_converted!$K22*100)</f>
        <v>6.4369047619137181</v>
      </c>
      <c r="H22">
        <f>IF(ISNA(nom_converted!H22),NA(),nom_converted!H22/nom_converted!$K22*100)</f>
        <v>6.4369047619137181</v>
      </c>
      <c r="I22">
        <f>IF(ISNA(nom_converted!I22),NA(),nom_converted!I22/nom_converted!$K22*100)</f>
        <v>6.4369047619137181</v>
      </c>
      <c r="J22">
        <f>IF(ISNA(nom_converted!J22),NA(),nom_converted!J22/nom_converted!$K22*100)</f>
        <v>6.8632452071833283</v>
      </c>
      <c r="K22">
        <v>119.62271130000001</v>
      </c>
    </row>
    <row r="23" spans="1:11" x14ac:dyDescent="0.3">
      <c r="A23" s="5">
        <v>2020</v>
      </c>
      <c r="B23">
        <f>IF(ISNA(nom_converted!B23),NA(),nom_converted!B23/nom_converted!$K23*100)</f>
        <v>3.7663579309123154</v>
      </c>
      <c r="C23">
        <f>IF(ISNA(nom_converted!C23),NA(),nom_converted!C23/nom_converted!$K23*100)</f>
        <v>5.3391227811833923</v>
      </c>
      <c r="D23">
        <f>IF(ISNA(nom_converted!D23),NA(),nom_converted!D23/nom_converted!$K23*100)</f>
        <v>5.3391227811833923</v>
      </c>
      <c r="E23">
        <f>IF(ISNA(nom_converted!E23),NA(),nom_converted!E23/nom_converted!$K23*100)</f>
        <v>5.3391227811833923</v>
      </c>
      <c r="F23">
        <f>IF(ISNA(nom_converted!F23),NA(),nom_converted!F23/nom_converted!$K23*100)</f>
        <v>6.7877219853804363</v>
      </c>
      <c r="G23">
        <f>IF(ISNA(nom_converted!G23),NA(),nom_converted!G23/nom_converted!$K23*100)</f>
        <v>6.7877219853804363</v>
      </c>
      <c r="H23">
        <f>IF(ISNA(nom_converted!H23),NA(),nom_converted!H23/nom_converted!$K23*100)</f>
        <v>6.7877219853804363</v>
      </c>
      <c r="I23">
        <f>IF(ISNA(nom_converted!I23),NA(),nom_converted!I23/nom_converted!$K23*100)</f>
        <v>6.7877219853804363</v>
      </c>
      <c r="J23">
        <f>IF(ISNA(nom_converted!J23),NA(),nom_converted!J23/nom_converted!$K23*100)</f>
        <v>7.2181628917704161</v>
      </c>
      <c r="K23">
        <v>120.8063621</v>
      </c>
    </row>
    <row r="24" spans="1:11" x14ac:dyDescent="0.3">
      <c r="A24" s="5">
        <v>2021</v>
      </c>
      <c r="B24">
        <f>IF(ISNA(nom_converted!B24),NA(),nom_converted!B24/nom_converted!$K24*100)</f>
        <v>3.7303576503974472</v>
      </c>
      <c r="C24">
        <f>IF(ISNA(nom_converted!C24),NA(),nom_converted!C24/nom_converted!$K24*100)</f>
        <v>5.2967848888760285</v>
      </c>
      <c r="D24">
        <f>IF(ISNA(nom_converted!D24),NA(),nom_converted!D24/nom_converted!$K24*100)</f>
        <v>5.2967848888760285</v>
      </c>
      <c r="E24">
        <f>IF(ISNA(nom_converted!E24),NA(),nom_converted!E24/nom_converted!$K24*100)</f>
        <v>5.2967848888760285</v>
      </c>
      <c r="F24">
        <f>IF(ISNA(nom_converted!F24),NA(),nom_converted!F24/nom_converted!$K24*100)</f>
        <v>6.7501709864334751</v>
      </c>
      <c r="G24">
        <f>IF(ISNA(nom_converted!G24),NA(),nom_converted!G24/nom_converted!$K24*100)</f>
        <v>6.7501709864334751</v>
      </c>
      <c r="H24">
        <f>IF(ISNA(nom_converted!H24),NA(),nom_converted!H24/nom_converted!$K24*100)</f>
        <v>7.1942611829093632</v>
      </c>
      <c r="I24">
        <f>IF(ISNA(nom_converted!I24),NA(),nom_converted!I24/nom_converted!$K24*100)</f>
        <v>7.1942611829093632</v>
      </c>
      <c r="J24">
        <f>IF(ISNA(nom_converted!J24),NA(),nom_converted!J24/nom_converted!$K24*100)</f>
        <v>7.1942611829093632</v>
      </c>
      <c r="K24">
        <v>123.84871459999999</v>
      </c>
    </row>
    <row r="25" spans="1:11" x14ac:dyDescent="0.3">
      <c r="A25" s="5">
        <v>2022</v>
      </c>
      <c r="B25">
        <f>IF(ISNA(nom_converted!B25),NA(),nom_converted!B25/nom_converted!$K25*100)</f>
        <v>3.5986813333286114</v>
      </c>
      <c r="C25">
        <f>IF(ISNA(nom_converted!C25),NA(),nom_converted!C25/nom_converted!$K25*100)</f>
        <v>5.1099778600071559</v>
      </c>
      <c r="D25">
        <f>IF(ISNA(nom_converted!D25),NA(),nom_converted!D25/nom_converted!$K25*100)</f>
        <v>5.1099778600071559</v>
      </c>
      <c r="E25">
        <f>IF(ISNA(nom_converted!E25),NA(),nom_converted!E25/nom_converted!$K25*100)</f>
        <v>5.1099778600071559</v>
      </c>
      <c r="F25">
        <f>IF(ISNA(nom_converted!F25),NA(),nom_converted!F25/nom_converted!$K25*100)</f>
        <v>6.8681693638163521</v>
      </c>
      <c r="G25">
        <f>IF(ISNA(nom_converted!G25),NA(),nom_converted!G25/nom_converted!$K25*100)</f>
        <v>6.8681693638163521</v>
      </c>
      <c r="H25">
        <f>IF(ISNA(nom_converted!H25),NA(),nom_converted!H25/nom_converted!$K25*100)</f>
        <v>7.1075826749733491</v>
      </c>
      <c r="I25">
        <f>IF(ISNA(nom_converted!I25),NA(),nom_converted!I25/nom_converted!$K25*100)</f>
        <v>7.1075826749733491</v>
      </c>
      <c r="J25">
        <f>IF(ISNA(nom_converted!J25),NA(),nom_converted!J25/nom_converted!$K25*100)</f>
        <v>7.1075826749733491</v>
      </c>
      <c r="K25">
        <v>133.6600703</v>
      </c>
    </row>
    <row r="26" spans="1:11" x14ac:dyDescent="0.3">
      <c r="A26" s="5">
        <v>2023</v>
      </c>
      <c r="B26">
        <f>IF(ISNA(nom_converted!B26),NA(),nom_converted!B26/nom_converted!$K26*100)</f>
        <v>3.6990101072046406</v>
      </c>
      <c r="C26">
        <f>IF(ISNA(nom_converted!C26),NA(),nom_converted!C26/nom_converted!$K26*100)</f>
        <v>5.2472700195005224</v>
      </c>
      <c r="D26">
        <f>IF(ISNA(nom_converted!D26),NA(),nom_converted!D26/nom_converted!$K26*100)</f>
        <v>5.2472700195005224</v>
      </c>
      <c r="E26">
        <f>IF(ISNA(nom_converted!E26),NA(),nom_converted!E26/nom_converted!$K26*100)</f>
        <v>5.2472700195005224</v>
      </c>
      <c r="F26">
        <f>IF(ISNA(nom_converted!F26),NA(),nom_converted!F26/nom_converted!$K26*100)</f>
        <v>7.1318035779059166</v>
      </c>
      <c r="G26">
        <f>IF(ISNA(nom_converted!G26),NA(),nom_converted!G26/nom_converted!$K26*100)</f>
        <v>7.1318035779059166</v>
      </c>
      <c r="H26">
        <f>IF(ISNA(nom_converted!H26),NA(),nom_converted!H26/nom_converted!$K26*100)</f>
        <v>7.2999404009606739</v>
      </c>
      <c r="I26">
        <f>IF(ISNA(nom_converted!I26),NA(),nom_converted!I26/nom_converted!$K26*100)</f>
        <v>7.2999404009606739</v>
      </c>
      <c r="J26">
        <f>IF(ISNA(nom_converted!J26),NA(),nom_converted!J26/nom_converted!$K26*100)</f>
        <v>7.2999404009606739</v>
      </c>
      <c r="K26">
        <v>142.74089140000001</v>
      </c>
    </row>
    <row r="27" spans="1:11" x14ac:dyDescent="0.3">
      <c r="A27" s="5">
        <v>2024</v>
      </c>
      <c r="B27">
        <f>IF(ISNA(nom_converted!B27),NA(),nom_converted!B27/nom_converted!$K27*100)</f>
        <v>4.3416096864427214</v>
      </c>
      <c r="C27">
        <f>IF(ISNA(nom_converted!C27),NA(),nom_converted!C27/nom_converted!$K27*100)</f>
        <v>5.8340380161574057</v>
      </c>
      <c r="D27">
        <f>IF(ISNA(nom_converted!D27),NA(),nom_converted!D27/nom_converted!$K27*100)</f>
        <v>5.8340380161574057</v>
      </c>
      <c r="E27">
        <f>IF(ISNA(nom_converted!E27),NA(),nom_converted!E27/nom_converted!$K27*100)</f>
        <v>5.8340380161574057</v>
      </c>
      <c r="F27">
        <f>IF(ISNA(nom_converted!F27),NA(),nom_converted!F27/nom_converted!$K27*100)</f>
        <v>7.7606273145163618</v>
      </c>
      <c r="G27">
        <f>IF(ISNA(nom_converted!G27),NA(),nom_converted!G27/nom_converted!$K27*100)</f>
        <v>7.7606273145163618</v>
      </c>
      <c r="H27">
        <f>IF(ISNA(nom_converted!H27),NA(),nom_converted!H27/nom_converted!$K27*100)</f>
        <v>7.7606273145163618</v>
      </c>
      <c r="I27">
        <f>IF(ISNA(nom_converted!I27),NA(),nom_converted!I27/nom_converted!$K27*100)</f>
        <v>7.7606273145163618</v>
      </c>
      <c r="J27">
        <f>IF(ISNA(nom_converted!J27),NA(),nom_converted!J27/nom_converted!$K27*100)</f>
        <v>7.7606273145163618</v>
      </c>
      <c r="K27">
        <v>147.41076380000001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nom_unconverted</vt:lpstr>
      <vt:lpstr>nom_converted</vt:lpstr>
      <vt:lpstr>real_unconverted</vt:lpstr>
      <vt:lpstr>real_converted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Tri T (PG/T - Economics)</dc:creator>
  <cp:lastModifiedBy>Pham, Tri T (PG/T - Economics)</cp:lastModifiedBy>
  <dcterms:created xsi:type="dcterms:W3CDTF">2026-06-16T10:06:27Z</dcterms:created>
  <dcterms:modified xsi:type="dcterms:W3CDTF">2026-06-17T07:42:17Z</dcterms:modified>
</cp:coreProperties>
</file>